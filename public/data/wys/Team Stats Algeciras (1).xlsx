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19.58988764044944"/>
    <col min="4" max="4" bestFit="true" customWidth="true" width="7.489887640449439"/>
    <col min="5" max="5" bestFit="true" customWidth="true" width="12.989887640449439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5.2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6.3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6.3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5.2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5.2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6.3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Algeciras</t>
        </is>
      </c>
      <c r="B2" s="3"/>
      <c r="C2" s="3"/>
      <c r="D2" s="3"/>
      <c r="E2" s="3"/>
      <c r="F2" s="3"/>
      <c r="G2" s="3" t="str">
        <f>AVERAGE(G4,G6)</f>
      </c>
      <c r="H2" s="3" t="str">
        <f>AVERAGE(H4,H6)</f>
      </c>
      <c r="I2" s="3" t="str">
        <f>AVERAGE(I4,I6)</f>
      </c>
      <c r="J2" s="3" t="str">
        <f>AVERAGE(J4,J6)</f>
      </c>
      <c r="K2" s="3" t="str">
        <f>IFERROR(SUM(J4,J6)/SUM(I4,I6)*100,0)</f>
      </c>
      <c r="L2" s="3" t="str">
        <f>AVERAGE(L4,L6)</f>
      </c>
      <c r="M2" s="3" t="str">
        <f>AVERAGE(M4,M6)</f>
      </c>
      <c r="N2" s="3" t="str">
        <f>IFERROR(SUM(M4,M6)/SUM(L4,L6)*100,0)</f>
      </c>
      <c r="O2" s="3" t="str">
        <f>AVERAGE(O4,O6)</f>
      </c>
      <c r="P2" s="3" t="str">
        <f>AVERAGE(P4,P6)</f>
      </c>
      <c r="Q2" s="3" t="str">
        <f>AVERAGE(Q4,Q6)</f>
      </c>
      <c r="R2" s="3" t="str">
        <f>AVERAGE(R4,R6)</f>
      </c>
      <c r="S2" s="3" t="str">
        <f>AVERAGE(S4,S6)</f>
      </c>
      <c r="T2" s="3" t="str">
        <f>AVERAGE(T4,T6)</f>
      </c>
      <c r="U2" s="3" t="str">
        <f>AVERAGE(U4,U6)</f>
      </c>
      <c r="V2" s="3" t="str">
        <f>AVERAGE(V4,V6)</f>
      </c>
      <c r="W2" s="3" t="str">
        <f>AVERAGE(W4,W6)</f>
      </c>
      <c r="X2" s="3" t="str">
        <f>AVERAGE(X4,X6)</f>
      </c>
      <c r="Y2" s="3" t="str">
        <f>AVERAGE(Y4,Y6)</f>
      </c>
      <c r="Z2" s="3" t="str">
        <f>IFERROR(SUM(Y4,Y6)/SUM(X4,X6)*100,0)</f>
      </c>
      <c r="AA2" s="3" t="str">
        <f>AVERAGE(AA4,AA6)</f>
      </c>
      <c r="AB2" s="3" t="str">
        <f>AVERAGE(AB4,AB6)</f>
      </c>
      <c r="AC2" s="3" t="str">
        <f>IFERROR(SUM(AB4,AB6)/SUM(AA4,AA6)*100,0)</f>
      </c>
      <c r="AD2" s="3" t="str">
        <f>AVERAGE(AD4,AD6)</f>
      </c>
      <c r="AE2" s="3" t="str">
        <f>AVERAGE(AE4,AE6)</f>
      </c>
      <c r="AF2" s="3" t="str">
        <f>IFERROR(SUM(AE4,AE6)/SUM(AD4,AD6)*100,0)</f>
      </c>
      <c r="AG2" s="3" t="str">
        <f>AVERAGE(AG4,AG6)</f>
      </c>
      <c r="AH2" s="3" t="str">
        <f>AVERAGE(AH4,AH6)</f>
      </c>
      <c r="AI2" s="3" t="str">
        <f>IFERROR(SUM(AH4,AH6)/SUM(AG4,AG6)*100,0)</f>
      </c>
      <c r="AJ2" s="3" t="str">
        <f>AVERAGE(AJ4,AJ6)</f>
      </c>
      <c r="AK2" s="3" t="str">
        <f>AVERAGE(AK4,AK6)</f>
      </c>
      <c r="AL2" s="3" t="str">
        <f>IFERROR(SUM(AK4,AK6)/SUM(AJ4,AJ6)*100,0)</f>
      </c>
      <c r="AM2" s="3" t="str">
        <f>AVERAGE(AM4,AM6)</f>
      </c>
      <c r="AN2" s="3" t="str">
        <f>AVERAGE(AN4,AN6)</f>
      </c>
      <c r="AO2" s="3" t="str">
        <f>IFERROR(SUM(AN4,AN6)/SUM(AM4,AM6)*100,0)</f>
      </c>
      <c r="AP2" s="3" t="str">
        <f>AVERAGE(AP4,AP6)</f>
      </c>
      <c r="AQ2" s="3" t="str">
        <f>AVERAGE(AQ4,AQ6)</f>
      </c>
      <c r="AR2" s="3" t="str">
        <f>IFERROR(SUM(AQ4,AQ6)/SUM(AP4,AP6)*100,0)</f>
      </c>
      <c r="AS2" s="3" t="str">
        <f>AVERAGE(AS4,AS6)</f>
      </c>
      <c r="AT2" s="3" t="str">
        <f>AVERAGE(AT4,AT6)</f>
      </c>
      <c r="AU2" s="3" t="str">
        <f>IFERROR(SUM(AT4,AT6)/SUM(AS4,AS6)*100,0)</f>
      </c>
      <c r="AV2" s="3" t="str">
        <f>AVERAGE(AV4,AV6)</f>
      </c>
      <c r="AW2" s="3" t="str">
        <f>AVERAGE(AW4,AW6)</f>
      </c>
      <c r="AX2" s="3" t="str">
        <f>IFERROR(SUM(AW4,AW6)/SUM(AV4,AV6)*100,0)</f>
      </c>
      <c r="AY2" s="3" t="str">
        <f>AVERAGE(AY4,AY6)</f>
      </c>
      <c r="AZ2" s="3" t="str">
        <f>AVERAGE(AZ4,AZ6)</f>
      </c>
      <c r="BA2" s="3" t="str">
        <f>AVERAGE(BA4,BA6)</f>
      </c>
      <c r="BB2" s="3" t="str">
        <f>AVERAGE(BB4,BB6)</f>
      </c>
      <c r="BC2" s="3" t="str">
        <f>AVERAGE(BC4,BC6)</f>
      </c>
      <c r="BD2" s="3" t="str">
        <f>AVERAGE(BD4,BD6)</f>
      </c>
      <c r="BE2" s="3" t="str">
        <f>AVERAGE(BE4,BE6)</f>
      </c>
      <c r="BF2" s="3" t="str">
        <f>AVERAGE(BF4,BF6)</f>
      </c>
      <c r="BG2" s="3" t="str">
        <f>IFERROR(SUM(BF4,BF6)/SUM(BE4,BE6)*100,0)</f>
      </c>
      <c r="BH2" s="3" t="str">
        <f>AVERAGE(BH4,BH6)</f>
      </c>
      <c r="BI2" s="3" t="str">
        <f>AVERAGE(BI4,BI6)</f>
      </c>
      <c r="BJ2" s="3" t="str">
        <f>AVERAGE(BJ4,BJ6)</f>
      </c>
      <c r="BK2" s="3" t="str">
        <f>AVERAGE(BK4,BK6)</f>
      </c>
      <c r="BL2" s="3" t="str">
        <f>IFERROR(SUM(BK4,BK6)/SUM(BJ4,BJ6)*100,0)</f>
      </c>
      <c r="BM2" s="3" t="str">
        <f>AVERAGE(BM4,BM6)</f>
      </c>
      <c r="BN2" s="3" t="str">
        <f>AVERAGE(BN4,BN6)</f>
      </c>
      <c r="BO2" s="3" t="str">
        <f>IFERROR(SUM(BN4,BN6)/SUM(BM4,BM6)*100,0)</f>
      </c>
      <c r="BP2" s="3" t="str">
        <f>AVERAGE(BP4,BP6)</f>
      </c>
      <c r="BQ2" s="3" t="str">
        <f>AVERAGE(BQ4,BQ6)</f>
      </c>
      <c r="BR2" s="3" t="str">
        <f>IFERROR(SUM(BQ4,BQ6)/SUM(BP4,BP6)*100,0)</f>
      </c>
      <c r="BS2" s="3" t="str">
        <f>AVERAGE(BS4,BS6)</f>
      </c>
      <c r="BT2" s="3" t="str">
        <f>AVERAGE(BT4,BT6)</f>
      </c>
      <c r="BU2" s="3" t="str">
        <f>IFERROR(SUM(BT4,BT6)/SUM(BS4,BS6)*100,0)</f>
      </c>
      <c r="BV2" s="3" t="str">
        <f>AVERAGE(BV4,BV6)</f>
      </c>
      <c r="BW2" s="3" t="str">
        <f>AVERAGE(BW4,BW6)</f>
      </c>
      <c r="BX2" s="3" t="str">
        <f>AVERAGE(BX4,BX6)</f>
      </c>
      <c r="BY2" s="3" t="str">
        <f>AVERAGE(BY4,BY6)</f>
      </c>
      <c r="BZ2" s="3" t="str">
        <f>AVERAGE(BZ4,BZ6)</f>
      </c>
      <c r="CA2" s="3" t="str">
        <f>AVERAGE(CA4,CA6)</f>
      </c>
      <c r="CB2" s="3" t="str">
        <f>AVERAGE(CB4,CB6)</f>
      </c>
      <c r="CC2" s="3" t="str">
        <f>IFERROR(SUM(CB4,CB6)/SUM(CA4,CA6)*100,0)</f>
      </c>
      <c r="CD2" s="3" t="str">
        <f>AVERAGE(CD4,CD6)</f>
      </c>
      <c r="CE2" s="3" t="str">
        <f>AVERAGE(CE4,CE6)</f>
      </c>
      <c r="CF2" s="3" t="str">
        <f>IFERROR(SUM(CE4,CE6)/SUM(CD4,CD6)*100,0)</f>
      </c>
      <c r="CG2" s="3" t="str">
        <f>AVERAGE(CG4,CG6)</f>
      </c>
      <c r="CH2" s="3" t="str">
        <f>AVERAGE(CH4,CH6)</f>
      </c>
      <c r="CI2" s="3" t="str">
        <f>IFERROR(SUM(CH4,CH6)/SUM(CG4,CG6)*100,0)</f>
      </c>
      <c r="CJ2" s="3" t="str">
        <f>AVERAGE(CJ4,CJ6)</f>
      </c>
      <c r="CK2" s="3" t="str">
        <f>AVERAGE(CK4,CK6)</f>
      </c>
      <c r="CL2" s="3" t="str">
        <f>IFERROR(SUM(CK4,CK6)/SUM(CJ4,CJ6)*100,0)</f>
      </c>
      <c r="CM2" s="3" t="str">
        <f>AVERAGE(CM4,CM6)</f>
      </c>
      <c r="CN2" s="3" t="str">
        <f>AVERAGE(CN4,CN6)</f>
      </c>
      <c r="CO2" s="3" t="str">
        <f>IFERROR(SUM(CN4,CN6)/SUM(CM4,CM6)*100,0)</f>
      </c>
      <c r="CP2" s="3" t="str">
        <f>AVERAGE(CP4,CP6)</f>
      </c>
      <c r="CQ2" s="3" t="str">
        <f>AVERAGE(CQ4,CQ6)</f>
      </c>
      <c r="CR2" s="3" t="str">
        <f>IFERROR(SUM(CQ4,CQ6)/SUM(CP4,CP6)*100,0)</f>
      </c>
      <c r="CS2" s="3" t="str">
        <f>AVERAGE(CS4,CS6)</f>
      </c>
      <c r="CT2" s="3" t="str">
        <f>AVERAGE(CT4,CT6)</f>
      </c>
      <c r="CU2" s="3" t="str">
        <f>IFERROR(SUM(CT4,CT6)/SUM(CS4,CS6)*100,0)</f>
      </c>
      <c r="CV2" s="3" t="str">
        <f>AVERAGE(CV4,CV6)</f>
      </c>
      <c r="CW2" s="3" t="str">
        <f>AVERAGE(CW4,CW6)</f>
      </c>
      <c r="CX2" s="3" t="str">
        <f>IFERROR(SUM(CW4,CW6)/SUM(CV4,CV6)*100,0)</f>
      </c>
      <c r="CY2" s="3" t="str">
        <f>AVERAGE(CY4,CY6)</f>
      </c>
      <c r="CZ2" s="3" t="str">
        <f>AVERAGE(CZ4,CZ6)</f>
      </c>
      <c r="DA2" s="3" t="str">
        <f>AVERAGE(DA4,DA6)</f>
      </c>
      <c r="DB2" s="3" t="str">
        <f>AVERAGE(DB4,DB6)</f>
      </c>
      <c r="DC2" s="3" t="str">
        <f>AVERAGE(DC4,DC6)</f>
      </c>
      <c r="DD2" s="3" t="str">
        <f>AVERAGE(DD4,DD6)</f>
      </c>
      <c r="DE2" s="3" t="str">
        <f>AVERAGE(DE4,DE6)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AVERAGE(G5,G7)</f>
      </c>
      <c r="H3" s="3" t="str">
        <f>AVERAGE(H5,H7)</f>
      </c>
      <c r="I3" s="3" t="str">
        <f>AVERAGE(I5,I7)</f>
      </c>
      <c r="J3" s="3" t="str">
        <f>AVERAGE(J5,J7)</f>
      </c>
      <c r="K3" s="3" t="str">
        <f>IFERROR(SUM(J5,J7)/SUM(I5,I7)*100,0)</f>
      </c>
      <c r="L3" s="3" t="str">
        <f>AVERAGE(L5,L7)</f>
      </c>
      <c r="M3" s="3" t="str">
        <f>AVERAGE(M5,M7)</f>
      </c>
      <c r="N3" s="3" t="str">
        <f>IFERROR(SUM(M5,M7)/SUM(L5,L7)*100,0)</f>
      </c>
      <c r="O3" s="3" t="str">
        <f>AVERAGE(O5,O7)</f>
      </c>
      <c r="P3" s="3" t="str">
        <f>AVERAGE(P5,P7)</f>
      </c>
      <c r="Q3" s="3" t="str">
        <f>AVERAGE(Q5,Q7)</f>
      </c>
      <c r="R3" s="3" t="str">
        <f>AVERAGE(R5,R7)</f>
      </c>
      <c r="S3" s="3" t="str">
        <f>AVERAGE(S5,S7)</f>
      </c>
      <c r="T3" s="3" t="str">
        <f>AVERAGE(T5,T7)</f>
      </c>
      <c r="U3" s="3" t="str">
        <f>AVERAGE(U5,U7)</f>
      </c>
      <c r="V3" s="3" t="str">
        <f>AVERAGE(V5,V7)</f>
      </c>
      <c r="W3" s="3" t="str">
        <f>AVERAGE(W5,W7)</f>
      </c>
      <c r="X3" s="3" t="str">
        <f>AVERAGE(X5,X7)</f>
      </c>
      <c r="Y3" s="3" t="str">
        <f>AVERAGE(Y5,Y7)</f>
      </c>
      <c r="Z3" s="3" t="str">
        <f>IFERROR(SUM(Y5,Y7)/SUM(X5,X7)*100,0)</f>
      </c>
      <c r="AA3" s="3" t="str">
        <f>AVERAGE(AA5,AA7)</f>
      </c>
      <c r="AB3" s="3" t="str">
        <f>AVERAGE(AB5,AB7)</f>
      </c>
      <c r="AC3" s="3" t="str">
        <f>IFERROR(SUM(AB5,AB7)/SUM(AA5,AA7)*100,0)</f>
      </c>
      <c r="AD3" s="3" t="str">
        <f>AVERAGE(AD5,AD7)</f>
      </c>
      <c r="AE3" s="3" t="str">
        <f>AVERAGE(AE5,AE7)</f>
      </c>
      <c r="AF3" s="3" t="str">
        <f>IFERROR(SUM(AE5,AE7)/SUM(AD5,AD7)*100,0)</f>
      </c>
      <c r="AG3" s="3" t="str">
        <f>AVERAGE(AG5,AG7)</f>
      </c>
      <c r="AH3" s="3" t="str">
        <f>AVERAGE(AH5,AH7)</f>
      </c>
      <c r="AI3" s="3" t="str">
        <f>IFERROR(SUM(AH5,AH7)/SUM(AG5,AG7)*100,0)</f>
      </c>
      <c r="AJ3" s="3" t="str">
        <f>AVERAGE(AJ5,AJ7)</f>
      </c>
      <c r="AK3" s="3" t="str">
        <f>AVERAGE(AK5,AK7)</f>
      </c>
      <c r="AL3" s="3" t="str">
        <f>IFERROR(SUM(AK5,AK7)/SUM(AJ5,AJ7)*100,0)</f>
      </c>
      <c r="AM3" s="3" t="str">
        <f>AVERAGE(AM5,AM7)</f>
      </c>
      <c r="AN3" s="3" t="str">
        <f>AVERAGE(AN5,AN7)</f>
      </c>
      <c r="AO3" s="3" t="str">
        <f>IFERROR(SUM(AN5,AN7)/SUM(AM5,AM7)*100,0)</f>
      </c>
      <c r="AP3" s="3" t="str">
        <f>AVERAGE(AP5,AP7)</f>
      </c>
      <c r="AQ3" s="3" t="str">
        <f>AVERAGE(AQ5,AQ7)</f>
      </c>
      <c r="AR3" s="3" t="str">
        <f>IFERROR(SUM(AQ5,AQ7)/SUM(AP5,AP7)*100,0)</f>
      </c>
      <c r="AS3" s="3" t="str">
        <f>AVERAGE(AS5,AS7)</f>
      </c>
      <c r="AT3" s="3" t="str">
        <f>AVERAGE(AT5,AT7)</f>
      </c>
      <c r="AU3" s="3" t="str">
        <f>IFERROR(SUM(AT5,AT7)/SUM(AS5,AS7)*100,0)</f>
      </c>
      <c r="AV3" s="3" t="str">
        <f>AVERAGE(AV5,AV7)</f>
      </c>
      <c r="AW3" s="3" t="str">
        <f>AVERAGE(AW5,AW7)</f>
      </c>
      <c r="AX3" s="3" t="str">
        <f>IFERROR(SUM(AW5,AW7)/SUM(AV5,AV7)*100,0)</f>
      </c>
      <c r="AY3" s="3" t="str">
        <f>AVERAGE(AY5,AY7)</f>
      </c>
      <c r="AZ3" s="3" t="str">
        <f>AVERAGE(AZ5,AZ7)</f>
      </c>
      <c r="BA3" s="3" t="str">
        <f>AVERAGE(BA5,BA7)</f>
      </c>
      <c r="BB3" s="3" t="str">
        <f>AVERAGE(BB5,BB7)</f>
      </c>
      <c r="BC3" s="3" t="str">
        <f>AVERAGE(BC5,BC7)</f>
      </c>
      <c r="BD3" s="3" t="str">
        <f>AVERAGE(BD5,BD7)</f>
      </c>
      <c r="BE3" s="3" t="str">
        <f>AVERAGE(BE5,BE7)</f>
      </c>
      <c r="BF3" s="3" t="str">
        <f>AVERAGE(BF5,BF7)</f>
      </c>
      <c r="BG3" s="3" t="str">
        <f>IFERROR(SUM(BF5,BF7)/SUM(BE5,BE7)*100,0)</f>
      </c>
      <c r="BH3" s="3" t="str">
        <f>AVERAGE(BH5,BH7)</f>
      </c>
      <c r="BI3" s="3" t="str">
        <f>AVERAGE(BI5,BI7)</f>
      </c>
      <c r="BJ3" s="3" t="str">
        <f>AVERAGE(BJ5,BJ7)</f>
      </c>
      <c r="BK3" s="3" t="str">
        <f>AVERAGE(BK5,BK7)</f>
      </c>
      <c r="BL3" s="3" t="str">
        <f>IFERROR(SUM(BK5,BK7)/SUM(BJ5,BJ7)*100,0)</f>
      </c>
      <c r="BM3" s="3" t="str">
        <f>AVERAGE(BM5,BM7)</f>
      </c>
      <c r="BN3" s="3" t="str">
        <f>AVERAGE(BN5,BN7)</f>
      </c>
      <c r="BO3" s="3" t="str">
        <f>IFERROR(SUM(BN5,BN7)/SUM(BM5,BM7)*100,0)</f>
      </c>
      <c r="BP3" s="3" t="str">
        <f>AVERAGE(BP5,BP7)</f>
      </c>
      <c r="BQ3" s="3" t="str">
        <f>AVERAGE(BQ5,BQ7)</f>
      </c>
      <c r="BR3" s="3" t="str">
        <f>IFERROR(SUM(BQ5,BQ7)/SUM(BP5,BP7)*100,0)</f>
      </c>
      <c r="BS3" s="3" t="str">
        <f>AVERAGE(BS5,BS7)</f>
      </c>
      <c r="BT3" s="3" t="str">
        <f>AVERAGE(BT5,BT7)</f>
      </c>
      <c r="BU3" s="3" t="str">
        <f>IFERROR(SUM(BT5,BT7)/SUM(BS5,BS7)*100,0)</f>
      </c>
      <c r="BV3" s="3" t="str">
        <f>AVERAGE(BV5,BV7)</f>
      </c>
      <c r="BW3" s="3" t="str">
        <f>AVERAGE(BW5,BW7)</f>
      </c>
      <c r="BX3" s="3" t="str">
        <f>AVERAGE(BX5,BX7)</f>
      </c>
      <c r="BY3" s="3" t="str">
        <f>AVERAGE(BY5,BY7)</f>
      </c>
      <c r="BZ3" s="3" t="str">
        <f>AVERAGE(BZ5,BZ7)</f>
      </c>
      <c r="CA3" s="3" t="str">
        <f>AVERAGE(CA5,CA7)</f>
      </c>
      <c r="CB3" s="3" t="str">
        <f>AVERAGE(CB5,CB7)</f>
      </c>
      <c r="CC3" s="3" t="str">
        <f>IFERROR(SUM(CB5,CB7)/SUM(CA5,CA7)*100,0)</f>
      </c>
      <c r="CD3" s="3" t="str">
        <f>AVERAGE(CD5,CD7)</f>
      </c>
      <c r="CE3" s="3" t="str">
        <f>AVERAGE(CE5,CE7)</f>
      </c>
      <c r="CF3" s="3" t="str">
        <f>IFERROR(SUM(CE5,CE7)/SUM(CD5,CD7)*100,0)</f>
      </c>
      <c r="CG3" s="3" t="str">
        <f>AVERAGE(CG5,CG7)</f>
      </c>
      <c r="CH3" s="3" t="str">
        <f>AVERAGE(CH5,CH7)</f>
      </c>
      <c r="CI3" s="3" t="str">
        <f>IFERROR(SUM(CH5,CH7)/SUM(CG5,CG7)*100,0)</f>
      </c>
      <c r="CJ3" s="3" t="str">
        <f>AVERAGE(CJ5,CJ7)</f>
      </c>
      <c r="CK3" s="3" t="str">
        <f>AVERAGE(CK5,CK7)</f>
      </c>
      <c r="CL3" s="3" t="str">
        <f>IFERROR(SUM(CK5,CK7)/SUM(CJ5,CJ7)*100,0)</f>
      </c>
      <c r="CM3" s="3" t="str">
        <f>AVERAGE(CM5,CM7)</f>
      </c>
      <c r="CN3" s="3" t="str">
        <f>AVERAGE(CN5,CN7)</f>
      </c>
      <c r="CO3" s="3" t="str">
        <f>IFERROR(SUM(CN5,CN7)/SUM(CM5,CM7)*100,0)</f>
      </c>
      <c r="CP3" s="3" t="str">
        <f>AVERAGE(CP5,CP7)</f>
      </c>
      <c r="CQ3" s="3" t="str">
        <f>AVERAGE(CQ5,CQ7)</f>
      </c>
      <c r="CR3" s="3" t="str">
        <f>IFERROR(SUM(CQ5,CQ7)/SUM(CP5,CP7)*100,0)</f>
      </c>
      <c r="CS3" s="3" t="str">
        <f>AVERAGE(CS5,CS7)</f>
      </c>
      <c r="CT3" s="3" t="str">
        <f>AVERAGE(CT5,CT7)</f>
      </c>
      <c r="CU3" s="3" t="str">
        <f>IFERROR(SUM(CT5,CT7)/SUM(CS5,CS7)*100,0)</f>
      </c>
      <c r="CV3" s="3" t="str">
        <f>AVERAGE(CV5,CV7)</f>
      </c>
      <c r="CW3" s="3" t="str">
        <f>AVERAGE(CW5,CW7)</f>
      </c>
      <c r="CX3" s="3" t="str">
        <f>IFERROR(SUM(CW5,CW7)/SUM(CV5,CV7)*100,0)</f>
      </c>
      <c r="CY3" s="3" t="str">
        <f>AVERAGE(CY5,CY7)</f>
      </c>
      <c r="CZ3" s="3" t="str">
        <f>AVERAGE(CZ5,CZ7)</f>
      </c>
      <c r="DA3" s="3" t="str">
        <f>AVERAGE(DA5,DA7)</f>
      </c>
      <c r="DB3" s="3" t="str">
        <f>AVERAGE(DB5,DB7)</f>
      </c>
      <c r="DC3" s="3" t="str">
        <f>AVERAGE(DC5,DC7)</f>
      </c>
      <c r="DD3" s="3" t="str">
        <f>AVERAGE(DD5,DD7)</f>
      </c>
      <c r="DE3" s="3" t="str">
        <f>AVERAGE(DE5,DE7)</f>
      </c>
    </row>
    <row ht="12" customHeight="true" r="4">
      <c r="A4" s="0" t="inlineStr">
        <is>
          <t>2026-09-11</t>
        </is>
      </c>
      <c r="B4" s="0" t="inlineStr">
        <is>
          <t>Gimnàstic Tarragona - Algeciras 4:2</t>
        </is>
      </c>
      <c r="C4" s="0" t="inlineStr">
        <is>
          <t>Spain. Primera Division RFEF</t>
        </is>
      </c>
      <c r="D4" s="0" t="n">
        <v>104</v>
      </c>
      <c r="E4" s="0" t="inlineStr">
        <is>
          <t>Algeciras</t>
        </is>
      </c>
      <c r="F4" s="0" t="inlineStr">
        <is>
          <t>4-3-3 (87.63%)</t>
        </is>
      </c>
      <c r="G4" s="0" t="n">
        <v>2</v>
      </c>
      <c r="H4" s="0" t="n">
        <v>1.0</v>
      </c>
      <c r="I4" s="0" t="n">
        <v>11.0</v>
      </c>
      <c r="J4" s="0" t="n">
        <v>5.0</v>
      </c>
      <c r="K4" s="0" t="n">
        <v>45.45</v>
      </c>
      <c r="L4" s="0" t="n">
        <v>537.0</v>
      </c>
      <c r="M4" s="0" t="n">
        <v>475.0</v>
      </c>
      <c r="N4" s="0" t="n">
        <v>88.45</v>
      </c>
      <c r="O4" s="0" t="n">
        <v>64.35</v>
      </c>
      <c r="P4" s="0" t="n">
        <v>102.0</v>
      </c>
      <c r="Q4" s="0" t="n">
        <v>12.0</v>
      </c>
      <c r="R4" s="0" t="n">
        <v>33.0</v>
      </c>
      <c r="S4" s="0" t="n">
        <v>57.0</v>
      </c>
      <c r="T4" s="0" t="n">
        <v>72.0</v>
      </c>
      <c r="U4" s="0" t="n">
        <v>27.0</v>
      </c>
      <c r="V4" s="0" t="n">
        <v>30.0</v>
      </c>
      <c r="W4" s="0" t="n">
        <v>15.0</v>
      </c>
      <c r="X4" s="0" t="n">
        <v>151.0</v>
      </c>
      <c r="Y4" s="0" t="n">
        <v>74.0</v>
      </c>
      <c r="Z4" s="0" t="n">
        <v>49.01</v>
      </c>
      <c r="AA4" s="0" t="n">
        <v>8.0</v>
      </c>
      <c r="AB4" s="0" t="n">
        <v>3.0</v>
      </c>
      <c r="AC4" s="0" t="n">
        <v>37.5</v>
      </c>
      <c r="AD4" s="0" t="n">
        <v>26</v>
      </c>
      <c r="AE4" s="0" t="n">
        <v>7</v>
      </c>
      <c r="AF4" s="0" t="n">
        <v>26.92</v>
      </c>
      <c r="AG4" s="0" t="n">
        <v>0</v>
      </c>
      <c r="AH4" s="0" t="n">
        <v>0</v>
      </c>
      <c r="AI4" s="0" t="n">
        <v>0</v>
      </c>
      <c r="AJ4" s="0" t="n">
        <v>33</v>
      </c>
      <c r="AK4" s="0" t="n">
        <v>2</v>
      </c>
      <c r="AL4" s="0" t="n">
        <v>6.06</v>
      </c>
      <c r="AM4" s="0" t="n">
        <v>3.0</v>
      </c>
      <c r="AN4" s="0" t="n">
        <v>0.0</v>
      </c>
      <c r="AO4" s="0" t="n">
        <v>0.0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19.0</v>
      </c>
      <c r="AW4" s="0" t="n">
        <v>7.0</v>
      </c>
      <c r="AX4" s="0" t="n">
        <v>36.84</v>
      </c>
      <c r="AY4" s="0" t="n">
        <v>5.0</v>
      </c>
      <c r="AZ4" s="0" t="n">
        <v>9.0</v>
      </c>
      <c r="BA4" s="0" t="n">
        <v>32.0</v>
      </c>
      <c r="BB4" s="0" t="n">
        <v>5.0</v>
      </c>
      <c r="BC4" s="0" t="n">
        <v>15.0</v>
      </c>
      <c r="BD4" s="0" t="n">
        <v>15.0</v>
      </c>
      <c r="BE4" s="0" t="n">
        <v>64.0</v>
      </c>
      <c r="BF4" s="0" t="n">
        <v>29.0</v>
      </c>
      <c r="BG4" s="0" t="n">
        <v>45.31</v>
      </c>
      <c r="BH4" s="0" t="n">
        <v>2.0</v>
      </c>
      <c r="BI4" s="0" t="n">
        <v>4.0</v>
      </c>
      <c r="BJ4" s="0" t="n">
        <v>17.0</v>
      </c>
      <c r="BK4" s="0" t="n">
        <v>6.0</v>
      </c>
      <c r="BL4" s="0" t="n">
        <v>35.29</v>
      </c>
      <c r="BM4" s="0" t="n">
        <v>38.0</v>
      </c>
      <c r="BN4" s="0" t="n">
        <v>20.0</v>
      </c>
      <c r="BO4" s="0" t="n">
        <v>52.63</v>
      </c>
      <c r="BP4" s="0" t="n">
        <v>23.0</v>
      </c>
      <c r="BQ4" s="0" t="n">
        <v>13.0</v>
      </c>
      <c r="BR4" s="0" t="n">
        <v>56.52</v>
      </c>
      <c r="BS4" s="0" t="n">
        <v>0.0</v>
      </c>
      <c r="BT4" s="0" t="n">
        <v>0.0</v>
      </c>
      <c r="BU4" s="0" t="n">
        <v>0</v>
      </c>
      <c r="BV4" s="0" t="n">
        <v>38.0</v>
      </c>
      <c r="BW4" s="0" t="n">
        <v>29.0</v>
      </c>
      <c r="BX4" s="0" t="n">
        <v>9.0</v>
      </c>
      <c r="BY4" s="0" t="n">
        <v>3.0</v>
      </c>
      <c r="BZ4" s="0" t="n">
        <v>0.0</v>
      </c>
      <c r="CA4" s="0" t="n">
        <v>155.0</v>
      </c>
      <c r="CB4" s="0" t="n">
        <v>120.0</v>
      </c>
      <c r="CC4" s="0" t="n">
        <v>77.42</v>
      </c>
      <c r="CD4" s="0" t="n">
        <v>95.0</v>
      </c>
      <c r="CE4" s="0" t="n">
        <v>92.0</v>
      </c>
      <c r="CF4" s="0" t="n">
        <v>96.84</v>
      </c>
      <c r="CG4" s="0" t="n">
        <v>223.0</v>
      </c>
      <c r="CH4" s="0" t="n">
        <v>209.0</v>
      </c>
      <c r="CI4" s="0" t="n">
        <v>93.72</v>
      </c>
      <c r="CJ4" s="0" t="n">
        <v>43.0</v>
      </c>
      <c r="CK4" s="0" t="n">
        <v>25.0</v>
      </c>
      <c r="CL4" s="0" t="n">
        <v>58.14</v>
      </c>
      <c r="CM4" s="0" t="n">
        <v>69.0</v>
      </c>
      <c r="CN4" s="0" t="n">
        <v>50.0</v>
      </c>
      <c r="CO4" s="0" t="n">
        <v>72.46</v>
      </c>
      <c r="CP4" s="0" t="n">
        <v>65.0</v>
      </c>
      <c r="CQ4" s="0" t="n">
        <v>51.0</v>
      </c>
      <c r="CR4" s="0" t="n">
        <v>78.46</v>
      </c>
      <c r="CS4" s="0" t="n">
        <v>1.0</v>
      </c>
      <c r="CT4" s="0" t="n">
        <v>0.0</v>
      </c>
      <c r="CU4" s="0" t="n">
        <v>0.0</v>
      </c>
      <c r="CV4" s="0" t="n">
        <v>17.0</v>
      </c>
      <c r="CW4" s="0" t="n">
        <v>17.0</v>
      </c>
      <c r="CX4" s="0" t="n">
        <v>100.0</v>
      </c>
      <c r="CY4" s="0" t="n">
        <v>6.0</v>
      </c>
      <c r="CZ4" s="0" t="n">
        <v>16.11</v>
      </c>
      <c r="DA4" s="0" t="n">
        <v>4.93</v>
      </c>
      <c r="DB4" s="0" t="n">
        <v>8.01</v>
      </c>
      <c r="DC4" s="0" t="n">
        <v>20.55</v>
      </c>
      <c r="DD4" s="0" t="n">
        <v>19.92</v>
      </c>
      <c r="DE4" s="0" t="n">
        <v>9.0</v>
      </c>
    </row>
    <row ht="12" customHeight="true" r="5">
      <c r="A5" s="0" t="inlineStr">
        <is>
          <t>2026-09-11</t>
        </is>
      </c>
      <c r="B5" s="0" t="inlineStr">
        <is>
          <t>Gimnàstic Tarragona - Algeciras 4:2</t>
        </is>
      </c>
      <c r="C5" s="0" t="inlineStr">
        <is>
          <t>Spain. Primera Division RFEF</t>
        </is>
      </c>
      <c r="D5" s="0" t="n">
        <v>104</v>
      </c>
      <c r="E5" s="0" t="inlineStr">
        <is>
          <t>Gimnàstic Tarragona</t>
        </is>
      </c>
      <c r="F5" s="0" t="inlineStr">
        <is>
          <t>3-5-2 (100.0%)</t>
        </is>
      </c>
      <c r="G5" s="0" t="n">
        <v>4</v>
      </c>
      <c r="H5" s="0" t="n">
        <v>2.82</v>
      </c>
      <c r="I5" s="0" t="n">
        <v>17.0</v>
      </c>
      <c r="J5" s="0" t="n">
        <v>6.0</v>
      </c>
      <c r="K5" s="0" t="n">
        <v>35.29</v>
      </c>
      <c r="L5" s="0" t="n">
        <v>318.0</v>
      </c>
      <c r="M5" s="0" t="n">
        <v>256.0</v>
      </c>
      <c r="N5" s="0" t="n">
        <v>80.5</v>
      </c>
      <c r="O5" s="0" t="n">
        <v>35.65</v>
      </c>
      <c r="P5" s="0" t="n">
        <v>95.0</v>
      </c>
      <c r="Q5" s="0" t="n">
        <v>19.0</v>
      </c>
      <c r="R5" s="0" t="n">
        <v>37.0</v>
      </c>
      <c r="S5" s="0" t="n">
        <v>39.0</v>
      </c>
      <c r="T5" s="0" t="n">
        <v>73.0</v>
      </c>
      <c r="U5" s="0" t="n">
        <v>40.0</v>
      </c>
      <c r="V5" s="0" t="n">
        <v>24.0</v>
      </c>
      <c r="W5" s="0" t="n">
        <v>9.0</v>
      </c>
      <c r="X5" s="0" t="n">
        <v>151.0</v>
      </c>
      <c r="Y5" s="0" t="n">
        <v>75.0</v>
      </c>
      <c r="Z5" s="0" t="n">
        <v>49.67</v>
      </c>
      <c r="AA5" s="0" t="n">
        <v>4.0</v>
      </c>
      <c r="AB5" s="0" t="n">
        <v>0.0</v>
      </c>
      <c r="AC5" s="0" t="n">
        <v>0.0</v>
      </c>
      <c r="AD5" s="0" t="n">
        <v>30</v>
      </c>
      <c r="AE5" s="0" t="n">
        <v>13</v>
      </c>
      <c r="AF5" s="0" t="n">
        <v>43.33</v>
      </c>
      <c r="AG5" s="0" t="n">
        <v>2</v>
      </c>
      <c r="AH5" s="0" t="n">
        <v>0</v>
      </c>
      <c r="AI5" s="0" t="n">
        <v>0.0</v>
      </c>
      <c r="AJ5" s="0" t="n">
        <v>19</v>
      </c>
      <c r="AK5" s="0" t="n">
        <v>4</v>
      </c>
      <c r="AL5" s="0" t="n">
        <v>21.05</v>
      </c>
      <c r="AM5" s="0" t="n">
        <v>3.0</v>
      </c>
      <c r="AN5" s="0" t="n">
        <v>1.0</v>
      </c>
      <c r="AO5" s="0" t="n">
        <v>33.33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20.0</v>
      </c>
      <c r="AW5" s="0" t="n">
        <v>9.0</v>
      </c>
      <c r="AX5" s="0" t="n">
        <v>45.0</v>
      </c>
      <c r="AY5" s="0" t="n">
        <v>7.0</v>
      </c>
      <c r="AZ5" s="0" t="n">
        <v>6.0</v>
      </c>
      <c r="BA5" s="0" t="n">
        <v>22.0</v>
      </c>
      <c r="BB5" s="0" t="n">
        <v>4.0</v>
      </c>
      <c r="BC5" s="0" t="n">
        <v>12.0</v>
      </c>
      <c r="BD5" s="0" t="n">
        <v>25.0</v>
      </c>
      <c r="BE5" s="0" t="n">
        <v>38.0</v>
      </c>
      <c r="BF5" s="0" t="n">
        <v>18.0</v>
      </c>
      <c r="BG5" s="0" t="n">
        <v>47.37</v>
      </c>
      <c r="BH5" s="0" t="n">
        <v>2.0</v>
      </c>
      <c r="BI5" s="0" t="n">
        <v>2.0</v>
      </c>
      <c r="BJ5" s="0" t="n">
        <v>11.0</v>
      </c>
      <c r="BK5" s="0" t="n">
        <v>5.0</v>
      </c>
      <c r="BL5" s="0" t="n">
        <v>45.45</v>
      </c>
      <c r="BM5" s="0" t="n">
        <v>64.0</v>
      </c>
      <c r="BN5" s="0" t="n">
        <v>35.0</v>
      </c>
      <c r="BO5" s="0" t="n">
        <v>54.69</v>
      </c>
      <c r="BP5" s="0" t="n">
        <v>23.0</v>
      </c>
      <c r="BQ5" s="0" t="n">
        <v>10.0</v>
      </c>
      <c r="BR5" s="0" t="n">
        <v>43.48</v>
      </c>
      <c r="BS5" s="0" t="n">
        <v>2.0</v>
      </c>
      <c r="BT5" s="0" t="n">
        <v>2.0</v>
      </c>
      <c r="BU5" s="0" t="n">
        <v>100.0</v>
      </c>
      <c r="BV5" s="0" t="n">
        <v>32.0</v>
      </c>
      <c r="BW5" s="0" t="n">
        <v>27.0</v>
      </c>
      <c r="BX5" s="0" t="n">
        <v>22.0</v>
      </c>
      <c r="BY5" s="0" t="n">
        <v>2.0</v>
      </c>
      <c r="BZ5" s="0" t="n">
        <v>0.0</v>
      </c>
      <c r="CA5" s="0" t="n">
        <v>118.0</v>
      </c>
      <c r="CB5" s="0" t="n">
        <v>86.0</v>
      </c>
      <c r="CC5" s="0" t="n">
        <v>72.88</v>
      </c>
      <c r="CD5" s="0" t="n">
        <v>41.0</v>
      </c>
      <c r="CE5" s="0" t="n">
        <v>38.0</v>
      </c>
      <c r="CF5" s="0" t="n">
        <v>92.68</v>
      </c>
      <c r="CG5" s="0" t="n">
        <v>115.0</v>
      </c>
      <c r="CH5" s="0" t="n">
        <v>100.0</v>
      </c>
      <c r="CI5" s="0" t="n">
        <v>86.96</v>
      </c>
      <c r="CJ5" s="0" t="n">
        <v>41.0</v>
      </c>
      <c r="CK5" s="0" t="n">
        <v>26.0</v>
      </c>
      <c r="CL5" s="0" t="n">
        <v>63.41</v>
      </c>
      <c r="CM5" s="0" t="n">
        <v>43.0</v>
      </c>
      <c r="CN5" s="0" t="n">
        <v>33.0</v>
      </c>
      <c r="CO5" s="0" t="n">
        <v>76.74</v>
      </c>
      <c r="CP5" s="0" t="n">
        <v>66.0</v>
      </c>
      <c r="CQ5" s="0" t="n">
        <v>45.0</v>
      </c>
      <c r="CR5" s="0" t="n">
        <v>68.18</v>
      </c>
      <c r="CS5" s="0" t="n">
        <v>2.0</v>
      </c>
      <c r="CT5" s="0" t="n">
        <v>1.0</v>
      </c>
      <c r="CU5" s="0" t="n">
        <v>50.0</v>
      </c>
      <c r="CV5" s="0" t="n">
        <v>18.0</v>
      </c>
      <c r="CW5" s="0" t="n">
        <v>15.0</v>
      </c>
      <c r="CX5" s="0" t="n">
        <v>83.33</v>
      </c>
      <c r="CY5" s="0" t="n">
        <v>6.0</v>
      </c>
      <c r="CZ5" s="0" t="n">
        <v>17.22</v>
      </c>
      <c r="DA5" s="0" t="n">
        <v>3.12</v>
      </c>
      <c r="DB5" s="0" t="n">
        <v>12.89</v>
      </c>
      <c r="DC5" s="0" t="n">
        <v>17.13</v>
      </c>
      <c r="DD5" s="0" t="n">
        <v>21.44</v>
      </c>
      <c r="DE5" s="0" t="n">
        <v>11.06</v>
      </c>
    </row>
    <row ht="12" customHeight="true" r="6">
      <c r="A6" s="0" t="inlineStr">
        <is>
          <t>2026-08-29</t>
        </is>
      </c>
      <c r="B6" s="0" t="inlineStr">
        <is>
          <t>Algeciras - Cartagena 1:3</t>
        </is>
      </c>
      <c r="C6" s="0" t="inlineStr">
        <is>
          <t>Spain. Primera Division RFEF</t>
        </is>
      </c>
      <c r="D6" s="0" t="n">
        <v>104</v>
      </c>
      <c r="E6" s="0" t="inlineStr">
        <is>
          <t>Algeciras</t>
        </is>
      </c>
      <c r="F6" s="0" t="inlineStr">
        <is>
          <t>4-3-3 (100.0%)</t>
        </is>
      </c>
      <c r="G6" s="0" t="n">
        <v>1</v>
      </c>
      <c r="H6" s="0" t="n">
        <v>1.34</v>
      </c>
      <c r="I6" s="0" t="n">
        <v>15.0</v>
      </c>
      <c r="J6" s="0" t="n">
        <v>5.0</v>
      </c>
      <c r="K6" s="0" t="n">
        <v>33.33</v>
      </c>
      <c r="L6" s="0" t="n">
        <v>545.0</v>
      </c>
      <c r="M6" s="0" t="n">
        <v>463.0</v>
      </c>
      <c r="N6" s="0" t="n">
        <v>84.95</v>
      </c>
      <c r="O6" s="0" t="n">
        <v>72.56</v>
      </c>
      <c r="P6" s="0" t="n">
        <v>119.0</v>
      </c>
      <c r="Q6" s="0" t="n">
        <v>22.0</v>
      </c>
      <c r="R6" s="0" t="n">
        <v>34.0</v>
      </c>
      <c r="S6" s="0" t="n">
        <v>63.0</v>
      </c>
      <c r="T6" s="0" t="n">
        <v>78.0</v>
      </c>
      <c r="U6" s="0" t="n">
        <v>44.0</v>
      </c>
      <c r="V6" s="0" t="n">
        <v>20.0</v>
      </c>
      <c r="W6" s="0" t="n">
        <v>14.0</v>
      </c>
      <c r="X6" s="0" t="n">
        <v>130.0</v>
      </c>
      <c r="Y6" s="0" t="n">
        <v>69.0</v>
      </c>
      <c r="Z6" s="0" t="n">
        <v>53.08</v>
      </c>
      <c r="AA6" s="0" t="n">
        <v>5.0</v>
      </c>
      <c r="AB6" s="0" t="n">
        <v>2.0</v>
      </c>
      <c r="AC6" s="0" t="n">
        <v>40.0</v>
      </c>
      <c r="AD6" s="0" t="n">
        <v>27</v>
      </c>
      <c r="AE6" s="0" t="n">
        <v>6</v>
      </c>
      <c r="AF6" s="0" t="n">
        <v>22.22</v>
      </c>
      <c r="AG6" s="0" t="n">
        <v>1</v>
      </c>
      <c r="AH6" s="0" t="n">
        <v>0</v>
      </c>
      <c r="AI6" s="0" t="n">
        <v>0.0</v>
      </c>
      <c r="AJ6" s="0" t="n">
        <v>29</v>
      </c>
      <c r="AK6" s="0" t="n">
        <v>7</v>
      </c>
      <c r="AL6" s="0" t="n">
        <v>24.14</v>
      </c>
      <c r="AM6" s="0" t="n">
        <v>8.0</v>
      </c>
      <c r="AN6" s="0" t="n">
        <v>3.0</v>
      </c>
      <c r="AO6" s="0" t="n">
        <v>37.5</v>
      </c>
      <c r="AP6" s="0" t="n">
        <v>6.0</v>
      </c>
      <c r="AQ6" s="0" t="n">
        <v>2.0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25.0</v>
      </c>
      <c r="AW6" s="0" t="n">
        <v>7.0</v>
      </c>
      <c r="AX6" s="0" t="n">
        <v>28.0</v>
      </c>
      <c r="AY6" s="0" t="n">
        <v>7.0</v>
      </c>
      <c r="AZ6" s="0" t="n">
        <v>9.0</v>
      </c>
      <c r="BA6" s="0" t="n">
        <v>37.0</v>
      </c>
      <c r="BB6" s="0" t="n">
        <v>4.0</v>
      </c>
      <c r="BC6" s="0" t="n">
        <v>18.0</v>
      </c>
      <c r="BD6" s="0" t="n">
        <v>28.0</v>
      </c>
      <c r="BE6" s="0" t="n">
        <v>50.0</v>
      </c>
      <c r="BF6" s="0" t="n">
        <v>24.0</v>
      </c>
      <c r="BG6" s="0" t="n">
        <v>48.0</v>
      </c>
      <c r="BH6" s="0" t="n">
        <v>2.0</v>
      </c>
      <c r="BI6" s="0" t="n">
        <v>3.0</v>
      </c>
      <c r="BJ6" s="0" t="n">
        <v>8.0</v>
      </c>
      <c r="BK6" s="0" t="n">
        <v>4.0</v>
      </c>
      <c r="BL6" s="0" t="n">
        <v>50.0</v>
      </c>
      <c r="BM6" s="0" t="n">
        <v>40.0</v>
      </c>
      <c r="BN6" s="0" t="n">
        <v>19.0</v>
      </c>
      <c r="BO6" s="0" t="n">
        <v>47.5</v>
      </c>
      <c r="BP6" s="0" t="n">
        <v>20.0</v>
      </c>
      <c r="BQ6" s="0" t="n">
        <v>9.0</v>
      </c>
      <c r="BR6" s="0" t="n">
        <v>45.0</v>
      </c>
      <c r="BS6" s="0" t="n">
        <v>0.0</v>
      </c>
      <c r="BT6" s="0" t="n">
        <v>0.0</v>
      </c>
      <c r="BU6" s="0" t="n">
        <v>0</v>
      </c>
      <c r="BV6" s="0" t="n">
        <v>32.0</v>
      </c>
      <c r="BW6" s="0" t="n">
        <v>24.0</v>
      </c>
      <c r="BX6" s="0" t="n">
        <v>15.0</v>
      </c>
      <c r="BY6" s="0" t="n">
        <v>2.0</v>
      </c>
      <c r="BZ6" s="0" t="n">
        <v>0.0</v>
      </c>
      <c r="CA6" s="0" t="n">
        <v>162.0</v>
      </c>
      <c r="CB6" s="0" t="n">
        <v>120.0</v>
      </c>
      <c r="CC6" s="0" t="n">
        <v>74.07</v>
      </c>
      <c r="CD6" s="0" t="n">
        <v>80.0</v>
      </c>
      <c r="CE6" s="0" t="n">
        <v>78.0</v>
      </c>
      <c r="CF6" s="0" t="n">
        <v>97.5</v>
      </c>
      <c r="CG6" s="0" t="n">
        <v>245.0</v>
      </c>
      <c r="CH6" s="0" t="n">
        <v>222.0</v>
      </c>
      <c r="CI6" s="0" t="n">
        <v>90.61</v>
      </c>
      <c r="CJ6" s="0" t="n">
        <v>53.0</v>
      </c>
      <c r="CK6" s="0" t="n">
        <v>31.0</v>
      </c>
      <c r="CL6" s="0" t="n">
        <v>58.49</v>
      </c>
      <c r="CM6" s="0" t="n">
        <v>60.0</v>
      </c>
      <c r="CN6" s="0" t="n">
        <v>42.0</v>
      </c>
      <c r="CO6" s="0" t="n">
        <v>70.0</v>
      </c>
      <c r="CP6" s="0" t="n">
        <v>77.0</v>
      </c>
      <c r="CQ6" s="0" t="n">
        <v>54.0</v>
      </c>
      <c r="CR6" s="0" t="n">
        <v>70.13</v>
      </c>
      <c r="CS6" s="0" t="n">
        <v>0.0</v>
      </c>
      <c r="CT6" s="0" t="n">
        <v>0.0</v>
      </c>
      <c r="CU6" s="0" t="n">
        <v>0</v>
      </c>
      <c r="CV6" s="0" t="n">
        <v>25.0</v>
      </c>
      <c r="CW6" s="0" t="n">
        <v>22.0</v>
      </c>
      <c r="CX6" s="0" t="n">
        <v>88.0</v>
      </c>
      <c r="CY6" s="0" t="n">
        <v>4.0</v>
      </c>
      <c r="CZ6" s="0" t="n">
        <v>15.81</v>
      </c>
      <c r="DA6" s="0" t="n">
        <v>5.14</v>
      </c>
      <c r="DB6" s="0" t="n">
        <v>9.72</v>
      </c>
      <c r="DC6" s="0" t="n">
        <v>17.55</v>
      </c>
      <c r="DD6" s="0" t="n">
        <v>21.32</v>
      </c>
      <c r="DE6" s="0" t="n">
        <v>9.69</v>
      </c>
    </row>
    <row ht="12" customHeight="true" r="7">
      <c r="A7" s="0" t="inlineStr">
        <is>
          <t>2026-08-29</t>
        </is>
      </c>
      <c r="B7" s="0" t="inlineStr">
        <is>
          <t>Algeciras - Cartagena 1:3</t>
        </is>
      </c>
      <c r="C7" s="0" t="inlineStr">
        <is>
          <t>Spain. Primera Division RFEF</t>
        </is>
      </c>
      <c r="D7" s="0" t="n">
        <v>104</v>
      </c>
      <c r="E7" s="0" t="inlineStr">
        <is>
          <t>Cartagena</t>
        </is>
      </c>
      <c r="F7" s="0" t="inlineStr">
        <is>
          <t>4-4-2 (100.0%)</t>
        </is>
      </c>
      <c r="G7" s="0" t="n">
        <v>3</v>
      </c>
      <c r="H7" s="0" t="n">
        <v>1.48</v>
      </c>
      <c r="I7" s="0" t="n">
        <v>8.0</v>
      </c>
      <c r="J7" s="0" t="n">
        <v>3.0</v>
      </c>
      <c r="K7" s="0" t="n">
        <v>37.5</v>
      </c>
      <c r="L7" s="0" t="n">
        <v>226.0</v>
      </c>
      <c r="M7" s="0" t="n">
        <v>173.0</v>
      </c>
      <c r="N7" s="0" t="n">
        <v>76.55</v>
      </c>
      <c r="O7" s="0" t="n">
        <v>27.44</v>
      </c>
      <c r="P7" s="0" t="n">
        <v>107.0</v>
      </c>
      <c r="Q7" s="0" t="n">
        <v>37.0</v>
      </c>
      <c r="R7" s="0" t="n">
        <v>23.0</v>
      </c>
      <c r="S7" s="0" t="n">
        <v>47.0</v>
      </c>
      <c r="T7" s="0" t="n">
        <v>67.0</v>
      </c>
      <c r="U7" s="0" t="n">
        <v>28.0</v>
      </c>
      <c r="V7" s="0" t="n">
        <v>20.0</v>
      </c>
      <c r="W7" s="0" t="n">
        <v>19.0</v>
      </c>
      <c r="X7" s="0" t="n">
        <v>130.0</v>
      </c>
      <c r="Y7" s="0" t="n">
        <v>61.0</v>
      </c>
      <c r="Z7" s="0" t="n">
        <v>46.92</v>
      </c>
      <c r="AA7" s="0" t="n">
        <v>1.0</v>
      </c>
      <c r="AB7" s="0" t="n">
        <v>0.0</v>
      </c>
      <c r="AC7" s="0" t="n">
        <v>0.0</v>
      </c>
      <c r="AD7" s="0" t="n">
        <v>20</v>
      </c>
      <c r="AE7" s="0" t="n">
        <v>4</v>
      </c>
      <c r="AF7" s="0" t="n">
        <v>20.0</v>
      </c>
      <c r="AG7" s="0" t="n">
        <v>0</v>
      </c>
      <c r="AH7" s="0" t="n">
        <v>0</v>
      </c>
      <c r="AI7" s="0" t="n">
        <v>0</v>
      </c>
      <c r="AJ7" s="0" t="n">
        <v>27</v>
      </c>
      <c r="AK7" s="0" t="n">
        <v>3</v>
      </c>
      <c r="AL7" s="0" t="n">
        <v>11.11</v>
      </c>
      <c r="AM7" s="0" t="n">
        <v>3.0</v>
      </c>
      <c r="AN7" s="0" t="n">
        <v>2.0</v>
      </c>
      <c r="AO7" s="0" t="n">
        <v>66.67</v>
      </c>
      <c r="AP7" s="0" t="n">
        <v>1.0</v>
      </c>
      <c r="AQ7" s="0" t="n">
        <v>0.0</v>
      </c>
      <c r="AR7" s="0" t="n">
        <v>0.0</v>
      </c>
      <c r="AS7" s="0" t="n">
        <v>1.0</v>
      </c>
      <c r="AT7" s="0" t="n">
        <v>1.0</v>
      </c>
      <c r="AU7" s="0" t="n">
        <v>100.0</v>
      </c>
      <c r="AV7" s="0" t="n">
        <v>7.0</v>
      </c>
      <c r="AW7" s="0" t="n">
        <v>2.0</v>
      </c>
      <c r="AX7" s="0" t="n">
        <v>28.57</v>
      </c>
      <c r="AY7" s="0" t="n">
        <v>2.0</v>
      </c>
      <c r="AZ7" s="0" t="n">
        <v>4.0</v>
      </c>
      <c r="BA7" s="0" t="n">
        <v>15.0</v>
      </c>
      <c r="BB7" s="0" t="n">
        <v>2.0</v>
      </c>
      <c r="BC7" s="0" t="n">
        <v>6.0</v>
      </c>
      <c r="BD7" s="0" t="n">
        <v>14.0</v>
      </c>
      <c r="BE7" s="0" t="n">
        <v>40.0</v>
      </c>
      <c r="BF7" s="0" t="n">
        <v>21.0</v>
      </c>
      <c r="BG7" s="0" t="n">
        <v>52.5</v>
      </c>
      <c r="BH7" s="0" t="n">
        <v>2.0</v>
      </c>
      <c r="BI7" s="0" t="n">
        <v>1.0</v>
      </c>
      <c r="BJ7" s="0" t="n">
        <v>15.0</v>
      </c>
      <c r="BK7" s="0" t="n">
        <v>5.0</v>
      </c>
      <c r="BL7" s="0" t="n">
        <v>33.33</v>
      </c>
      <c r="BM7" s="0" t="n">
        <v>50.0</v>
      </c>
      <c r="BN7" s="0" t="n">
        <v>26.0</v>
      </c>
      <c r="BO7" s="0" t="n">
        <v>52.0</v>
      </c>
      <c r="BP7" s="0" t="n">
        <v>20.0</v>
      </c>
      <c r="BQ7" s="0" t="n">
        <v>11.0</v>
      </c>
      <c r="BR7" s="0" t="n">
        <v>55.0</v>
      </c>
      <c r="BS7" s="0" t="n">
        <v>1.0</v>
      </c>
      <c r="BT7" s="0" t="n">
        <v>0.0</v>
      </c>
      <c r="BU7" s="0" t="n">
        <v>0.0</v>
      </c>
      <c r="BV7" s="0" t="n">
        <v>54.0</v>
      </c>
      <c r="BW7" s="0" t="n">
        <v>46.0</v>
      </c>
      <c r="BX7" s="0" t="n">
        <v>15.0</v>
      </c>
      <c r="BY7" s="0" t="n">
        <v>3.0</v>
      </c>
      <c r="BZ7" s="0" t="n">
        <v>0.0</v>
      </c>
      <c r="CA7" s="0" t="n">
        <v>101.0</v>
      </c>
      <c r="CB7" s="0" t="n">
        <v>66.0</v>
      </c>
      <c r="CC7" s="0" t="n">
        <v>65.35</v>
      </c>
      <c r="CD7" s="0" t="n">
        <v>27.0</v>
      </c>
      <c r="CE7" s="0" t="n">
        <v>25.0</v>
      </c>
      <c r="CF7" s="0" t="n">
        <v>92.59</v>
      </c>
      <c r="CG7" s="0" t="n">
        <v>63.0</v>
      </c>
      <c r="CH7" s="0" t="n">
        <v>54.0</v>
      </c>
      <c r="CI7" s="0" t="n">
        <v>85.71</v>
      </c>
      <c r="CJ7" s="0" t="n">
        <v>39.0</v>
      </c>
      <c r="CK7" s="0" t="n">
        <v>17.0</v>
      </c>
      <c r="CL7" s="0" t="n">
        <v>43.59</v>
      </c>
      <c r="CM7" s="0" t="n">
        <v>43.0</v>
      </c>
      <c r="CN7" s="0" t="n">
        <v>23.0</v>
      </c>
      <c r="CO7" s="0" t="n">
        <v>53.49</v>
      </c>
      <c r="CP7" s="0" t="n">
        <v>39.0</v>
      </c>
      <c r="CQ7" s="0" t="n">
        <v>25.0</v>
      </c>
      <c r="CR7" s="0" t="n">
        <v>64.1</v>
      </c>
      <c r="CS7" s="0" t="n">
        <v>0.0</v>
      </c>
      <c r="CT7" s="0" t="n">
        <v>0.0</v>
      </c>
      <c r="CU7" s="0" t="n">
        <v>0</v>
      </c>
      <c r="CV7" s="0" t="n">
        <v>13.0</v>
      </c>
      <c r="CW7" s="0" t="n">
        <v>11.0</v>
      </c>
      <c r="CX7" s="0" t="n">
        <v>84.62</v>
      </c>
      <c r="CY7" s="0" t="n">
        <v>9.0</v>
      </c>
      <c r="CZ7" s="0" t="n">
        <v>17.34</v>
      </c>
      <c r="DA7" s="0" t="n">
        <v>2.38</v>
      </c>
      <c r="DB7" s="0" t="n">
        <v>17.26</v>
      </c>
      <c r="DC7" s="0" t="n">
        <v>14.4</v>
      </c>
      <c r="DD7" s="0" t="n">
        <v>20.72</v>
      </c>
      <c r="DE7" s="0" t="n">
        <v>16.67</v>
      </c>
    </row>
  </sheetData>
  <sheetCalcPr fullCalcOnLoad="true"/>
  <mergeCells count="3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2026-09-12T22:00:48Z</dcterms:created>
  <cp:revision>0</cp:revision>
</cp:coreProperties>
</file>