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3.889887640449444"/>
    <col min="3" max="3" bestFit="true" customWidth="true" width="19.58988764044944"/>
    <col min="4" max="4" bestFit="true" customWidth="true" width="7.489887640449439"/>
    <col min="5" max="5" bestFit="true" customWidth="true" width="18.4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5.2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6.3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5.289887640449439"/>
    <col min="36" max="36" bestFit="true" customWidth="true" width="26.18988764044944"/>
    <col min="37" max="37" bestFit="true" customWidth="true" width="4.1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7.489887640449439"/>
    <col min="45" max="45" bestFit="true" customWidth="true" width="12.989887640449439"/>
    <col min="46" max="46" bestFit="true" customWidth="true" width="5.289887640449439"/>
    <col min="47" max="47" bestFit="true" customWidth="true" width="5.2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6.3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5.2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6.3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7.38988764044944"/>
    <col min="98" max="98" bestFit="true" customWidth="true" width="5.289887640449439"/>
    <col min="99" max="99" bestFit="true" customWidth="true" width="7.4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Real Madrid Castilla</t>
        </is>
      </c>
      <c r="B2" s="3"/>
      <c r="C2" s="3"/>
      <c r="D2" s="3"/>
      <c r="E2" s="3"/>
      <c r="F2" s="3"/>
      <c r="G2" s="3" t="str">
        <f>AVERAGE(G4,G6,G8)</f>
      </c>
      <c r="H2" s="3" t="str">
        <f>AVERAGE(H4,H6,H8)</f>
      </c>
      <c r="I2" s="3" t="str">
        <f>AVERAGE(I4,I6,I8)</f>
      </c>
      <c r="J2" s="3" t="str">
        <f>AVERAGE(J4,J6,J8)</f>
      </c>
      <c r="K2" s="3" t="str">
        <f>IFERROR(SUM(J4,J6,J8)/SUM(I4,I6,I8)*100,0)</f>
      </c>
      <c r="L2" s="3" t="str">
        <f>AVERAGE(L4,L6,L8)</f>
      </c>
      <c r="M2" s="3" t="str">
        <f>AVERAGE(M4,M6,M8)</f>
      </c>
      <c r="N2" s="3" t="str">
        <f>IFERROR(SUM(M4,M6,M8)/SUM(L4,L6,L8)*100,0)</f>
      </c>
      <c r="O2" s="3" t="str">
        <f>AVERAGE(O4,O6,O8)</f>
      </c>
      <c r="P2" s="3" t="str">
        <f>AVERAGE(P4,P6,P8)</f>
      </c>
      <c r="Q2" s="3" t="str">
        <f>AVERAGE(Q4,Q6,Q8)</f>
      </c>
      <c r="R2" s="3" t="str">
        <f>AVERAGE(R4,R6,R8)</f>
      </c>
      <c r="S2" s="3" t="str">
        <f>AVERAGE(S4,S6,S8)</f>
      </c>
      <c r="T2" s="3" t="str">
        <f>AVERAGE(T4,T6,T8)</f>
      </c>
      <c r="U2" s="3" t="str">
        <f>AVERAGE(U4,U6,U8)</f>
      </c>
      <c r="V2" s="3" t="str">
        <f>AVERAGE(V4,V6,V8)</f>
      </c>
      <c r="W2" s="3" t="str">
        <f>AVERAGE(W4,W6,W8)</f>
      </c>
      <c r="X2" s="3" t="str">
        <f>AVERAGE(X4,X6,X8)</f>
      </c>
      <c r="Y2" s="3" t="str">
        <f>AVERAGE(Y4,Y6,Y8)</f>
      </c>
      <c r="Z2" s="3" t="str">
        <f>IFERROR(SUM(Y4,Y6,Y8)/SUM(X4,X6,X8)*100,0)</f>
      </c>
      <c r="AA2" s="3" t="str">
        <f>AVERAGE(AA4,AA6,AA8)</f>
      </c>
      <c r="AB2" s="3" t="str">
        <f>AVERAGE(AB4,AB6,AB8)</f>
      </c>
      <c r="AC2" s="3" t="str">
        <f>IFERROR(SUM(AB4,AB6,AB8)/SUM(AA4,AA6,AA8)*100,0)</f>
      </c>
      <c r="AD2" s="3" t="str">
        <f>AVERAGE(AD4,AD6,AD8)</f>
      </c>
      <c r="AE2" s="3" t="str">
        <f>AVERAGE(AE4,AE6,AE8)</f>
      </c>
      <c r="AF2" s="3" t="str">
        <f>IFERROR(SUM(AE4,AE6,AE8)/SUM(AD4,AD6,AD8)*100,0)</f>
      </c>
      <c r="AG2" s="3" t="str">
        <f>AVERAGE(AG4,AG6,AG8)</f>
      </c>
      <c r="AH2" s="3" t="str">
        <f>AVERAGE(AH4,AH6,AH8)</f>
      </c>
      <c r="AI2" s="3" t="str">
        <f>IFERROR(SUM(AH4,AH6,AH8)/SUM(AG4,AG6,AG8)*100,0)</f>
      </c>
      <c r="AJ2" s="3" t="str">
        <f>AVERAGE(AJ4,AJ6,AJ8)</f>
      </c>
      <c r="AK2" s="3" t="str">
        <f>AVERAGE(AK4,AK6,AK8)</f>
      </c>
      <c r="AL2" s="3" t="str">
        <f>IFERROR(SUM(AK4,AK6,AK8)/SUM(AJ4,AJ6,AJ8)*100,0)</f>
      </c>
      <c r="AM2" s="3" t="str">
        <f>AVERAGE(AM4,AM6,AM8)</f>
      </c>
      <c r="AN2" s="3" t="str">
        <f>AVERAGE(AN4,AN6,AN8)</f>
      </c>
      <c r="AO2" s="3" t="str">
        <f>IFERROR(SUM(AN4,AN6,AN8)/SUM(AM4,AM6,AM8)*100,0)</f>
      </c>
      <c r="AP2" s="3" t="str">
        <f>AVERAGE(AP4,AP6,AP8)</f>
      </c>
      <c r="AQ2" s="3" t="str">
        <f>AVERAGE(AQ4,AQ6,AQ8)</f>
      </c>
      <c r="AR2" s="3" t="str">
        <f>IFERROR(SUM(AQ4,AQ6,AQ8)/SUM(AP4,AP6,AP8)*100,0)</f>
      </c>
      <c r="AS2" s="3" t="str">
        <f>AVERAGE(AS4,AS6,AS8)</f>
      </c>
      <c r="AT2" s="3" t="str">
        <f>AVERAGE(AT4,AT6,AT8)</f>
      </c>
      <c r="AU2" s="3" t="str">
        <f>IFERROR(SUM(AT4,AT6,AT8)/SUM(AS4,AS6,AS8)*100,0)</f>
      </c>
      <c r="AV2" s="3" t="str">
        <f>AVERAGE(AV4,AV6,AV8)</f>
      </c>
      <c r="AW2" s="3" t="str">
        <f>AVERAGE(AW4,AW6,AW8)</f>
      </c>
      <c r="AX2" s="3" t="str">
        <f>IFERROR(SUM(AW4,AW6,AW8)/SUM(AV4,AV6,AV8)*100,0)</f>
      </c>
      <c r="AY2" s="3" t="str">
        <f>AVERAGE(AY4,AY6,AY8)</f>
      </c>
      <c r="AZ2" s="3" t="str">
        <f>AVERAGE(AZ4,AZ6,AZ8)</f>
      </c>
      <c r="BA2" s="3" t="str">
        <f>AVERAGE(BA4,BA6,BA8)</f>
      </c>
      <c r="BB2" s="3" t="str">
        <f>AVERAGE(BB4,BB6,BB8)</f>
      </c>
      <c r="BC2" s="3" t="str">
        <f>AVERAGE(BC4,BC6,BC8)</f>
      </c>
      <c r="BD2" s="3" t="str">
        <f>AVERAGE(BD4,BD6,BD8)</f>
      </c>
      <c r="BE2" s="3" t="str">
        <f>AVERAGE(BE4,BE6,BE8)</f>
      </c>
      <c r="BF2" s="3" t="str">
        <f>AVERAGE(BF4,BF6,BF8)</f>
      </c>
      <c r="BG2" s="3" t="str">
        <f>IFERROR(SUM(BF4,BF6,BF8)/SUM(BE4,BE6,BE8)*100,0)</f>
      </c>
      <c r="BH2" s="3" t="str">
        <f>AVERAGE(BH4,BH6,BH8)</f>
      </c>
      <c r="BI2" s="3" t="str">
        <f>AVERAGE(BI4,BI6,BI8)</f>
      </c>
      <c r="BJ2" s="3" t="str">
        <f>AVERAGE(BJ4,BJ6,BJ8)</f>
      </c>
      <c r="BK2" s="3" t="str">
        <f>AVERAGE(BK4,BK6,BK8)</f>
      </c>
      <c r="BL2" s="3" t="str">
        <f>IFERROR(SUM(BK4,BK6,BK8)/SUM(BJ4,BJ6,BJ8)*100,0)</f>
      </c>
      <c r="BM2" s="3" t="str">
        <f>AVERAGE(BM4,BM6,BM8)</f>
      </c>
      <c r="BN2" s="3" t="str">
        <f>AVERAGE(BN4,BN6,BN8)</f>
      </c>
      <c r="BO2" s="3" t="str">
        <f>IFERROR(SUM(BN4,BN6,BN8)/SUM(BM4,BM6,BM8)*100,0)</f>
      </c>
      <c r="BP2" s="3" t="str">
        <f>AVERAGE(BP4,BP6,BP8)</f>
      </c>
      <c r="BQ2" s="3" t="str">
        <f>AVERAGE(BQ4,BQ6,BQ8)</f>
      </c>
      <c r="BR2" s="3" t="str">
        <f>IFERROR(SUM(BQ4,BQ6,BQ8)/SUM(BP4,BP6,BP8)*100,0)</f>
      </c>
      <c r="BS2" s="3" t="str">
        <f>AVERAGE(BS4,BS6,BS8)</f>
      </c>
      <c r="BT2" s="3" t="str">
        <f>AVERAGE(BT4,BT6,BT8)</f>
      </c>
      <c r="BU2" s="3" t="str">
        <f>IFERROR(SUM(BT4,BT6,BT8)/SUM(BS4,BS6,BS8)*100,0)</f>
      </c>
      <c r="BV2" s="3" t="str">
        <f>AVERAGE(BV4,BV6,BV8)</f>
      </c>
      <c r="BW2" s="3" t="str">
        <f>AVERAGE(BW4,BW6,BW8)</f>
      </c>
      <c r="BX2" s="3" t="str">
        <f>AVERAGE(BX4,BX6,BX8)</f>
      </c>
      <c r="BY2" s="3" t="str">
        <f>AVERAGE(BY4,BY6,BY8)</f>
      </c>
      <c r="BZ2" s="3" t="str">
        <f>AVERAGE(BZ4,BZ6,BZ8)</f>
      </c>
      <c r="CA2" s="3" t="str">
        <f>AVERAGE(CA4,CA6,CA8)</f>
      </c>
      <c r="CB2" s="3" t="str">
        <f>AVERAGE(CB4,CB6,CB8)</f>
      </c>
      <c r="CC2" s="3" t="str">
        <f>IFERROR(SUM(CB4,CB6,CB8)/SUM(CA4,CA6,CA8)*100,0)</f>
      </c>
      <c r="CD2" s="3" t="str">
        <f>AVERAGE(CD4,CD6,CD8)</f>
      </c>
      <c r="CE2" s="3" t="str">
        <f>AVERAGE(CE4,CE6,CE8)</f>
      </c>
      <c r="CF2" s="3" t="str">
        <f>IFERROR(SUM(CE4,CE6,CE8)/SUM(CD4,CD6,CD8)*100,0)</f>
      </c>
      <c r="CG2" s="3" t="str">
        <f>AVERAGE(CG4,CG6,CG8)</f>
      </c>
      <c r="CH2" s="3" t="str">
        <f>AVERAGE(CH4,CH6,CH8)</f>
      </c>
      <c r="CI2" s="3" t="str">
        <f>IFERROR(SUM(CH4,CH6,CH8)/SUM(CG4,CG6,CG8)*100,0)</f>
      </c>
      <c r="CJ2" s="3" t="str">
        <f>AVERAGE(CJ4,CJ6,CJ8)</f>
      </c>
      <c r="CK2" s="3" t="str">
        <f>AVERAGE(CK4,CK6,CK8)</f>
      </c>
      <c r="CL2" s="3" t="str">
        <f>IFERROR(SUM(CK4,CK6,CK8)/SUM(CJ4,CJ6,CJ8)*100,0)</f>
      </c>
      <c r="CM2" s="3" t="str">
        <f>AVERAGE(CM4,CM6,CM8)</f>
      </c>
      <c r="CN2" s="3" t="str">
        <f>AVERAGE(CN4,CN6,CN8)</f>
      </c>
      <c r="CO2" s="3" t="str">
        <f>IFERROR(SUM(CN4,CN6,CN8)/SUM(CM4,CM6,CM8)*100,0)</f>
      </c>
      <c r="CP2" s="3" t="str">
        <f>AVERAGE(CP4,CP6,CP8)</f>
      </c>
      <c r="CQ2" s="3" t="str">
        <f>AVERAGE(CQ4,CQ6,CQ8)</f>
      </c>
      <c r="CR2" s="3" t="str">
        <f>IFERROR(SUM(CQ4,CQ6,CQ8)/SUM(CP4,CP6,CP8)*100,0)</f>
      </c>
      <c r="CS2" s="3" t="str">
        <f>AVERAGE(CS4,CS6,CS8)</f>
      </c>
      <c r="CT2" s="3" t="str">
        <f>AVERAGE(CT4,CT6,CT8)</f>
      </c>
      <c r="CU2" s="3" t="str">
        <f>IFERROR(SUM(CT4,CT6,CT8)/SUM(CS4,CS6,CS8)*100,0)</f>
      </c>
      <c r="CV2" s="3" t="str">
        <f>AVERAGE(CV4,CV6,CV8)</f>
      </c>
      <c r="CW2" s="3" t="str">
        <f>AVERAGE(CW4,CW6,CW8)</f>
      </c>
      <c r="CX2" s="3" t="str">
        <f>IFERROR(SUM(CW4,CW6,CW8)/SUM(CV4,CV6,CV8)*100,0)</f>
      </c>
      <c r="CY2" s="3" t="str">
        <f>AVERAGE(CY4,CY6,CY8)</f>
      </c>
      <c r="CZ2" s="3" t="str">
        <f>AVERAGE(CZ4,CZ6,CZ8)</f>
      </c>
      <c r="DA2" s="3" t="str">
        <f>AVERAGE(DA4,DA6,DA8)</f>
      </c>
      <c r="DB2" s="3" t="str">
        <f>AVERAGE(DB4,DB6,DB8)</f>
      </c>
      <c r="DC2" s="3" t="str">
        <f>AVERAGE(DC4,DC6,DC8)</f>
      </c>
      <c r="DD2" s="3" t="str">
        <f>AVERAGE(DD4,DD6,DD8)</f>
      </c>
      <c r="DE2" s="3" t="str">
        <f>AVERAGE(DE4,DE6,DE8)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AVERAGE(G5,G7,G9)</f>
      </c>
      <c r="H3" s="3" t="str">
        <f>AVERAGE(H5,H7,H9)</f>
      </c>
      <c r="I3" s="3" t="str">
        <f>AVERAGE(I5,I7,I9)</f>
      </c>
      <c r="J3" s="3" t="str">
        <f>AVERAGE(J5,J7,J9)</f>
      </c>
      <c r="K3" s="3" t="str">
        <f>IFERROR(SUM(J5,J7,J9)/SUM(I5,I7,I9)*100,0)</f>
      </c>
      <c r="L3" s="3" t="str">
        <f>AVERAGE(L5,L7,L9)</f>
      </c>
      <c r="M3" s="3" t="str">
        <f>AVERAGE(M5,M7,M9)</f>
      </c>
      <c r="N3" s="3" t="str">
        <f>IFERROR(SUM(M5,M7,M9)/SUM(L5,L7,L9)*100,0)</f>
      </c>
      <c r="O3" s="3" t="str">
        <f>AVERAGE(O5,O7,O9)</f>
      </c>
      <c r="P3" s="3" t="str">
        <f>AVERAGE(P5,P7,P9)</f>
      </c>
      <c r="Q3" s="3" t="str">
        <f>AVERAGE(Q5,Q7,Q9)</f>
      </c>
      <c r="R3" s="3" t="str">
        <f>AVERAGE(R5,R7,R9)</f>
      </c>
      <c r="S3" s="3" t="str">
        <f>AVERAGE(S5,S7,S9)</f>
      </c>
      <c r="T3" s="3" t="str">
        <f>AVERAGE(T5,T7,T9)</f>
      </c>
      <c r="U3" s="3" t="str">
        <f>AVERAGE(U5,U7,U9)</f>
      </c>
      <c r="V3" s="3" t="str">
        <f>AVERAGE(V5,V7,V9)</f>
      </c>
      <c r="W3" s="3" t="str">
        <f>AVERAGE(W5,W7,W9)</f>
      </c>
      <c r="X3" s="3" t="str">
        <f>AVERAGE(X5,X7,X9)</f>
      </c>
      <c r="Y3" s="3" t="str">
        <f>AVERAGE(Y5,Y7,Y9)</f>
      </c>
      <c r="Z3" s="3" t="str">
        <f>IFERROR(SUM(Y5,Y7,Y9)/SUM(X5,X7,X9)*100,0)</f>
      </c>
      <c r="AA3" s="3" t="str">
        <f>AVERAGE(AA5,AA7,AA9)</f>
      </c>
      <c r="AB3" s="3" t="str">
        <f>AVERAGE(AB5,AB7,AB9)</f>
      </c>
      <c r="AC3" s="3" t="str">
        <f>IFERROR(SUM(AB5,AB7,AB9)/SUM(AA5,AA7,AA9)*100,0)</f>
      </c>
      <c r="AD3" s="3" t="str">
        <f>AVERAGE(AD5,AD7,AD9)</f>
      </c>
      <c r="AE3" s="3" t="str">
        <f>AVERAGE(AE5,AE7,AE9)</f>
      </c>
      <c r="AF3" s="3" t="str">
        <f>IFERROR(SUM(AE5,AE7,AE9)/SUM(AD5,AD7,AD9)*100,0)</f>
      </c>
      <c r="AG3" s="3" t="str">
        <f>AVERAGE(AG5,AG7,AG9)</f>
      </c>
      <c r="AH3" s="3" t="str">
        <f>AVERAGE(AH5,AH7,AH9)</f>
      </c>
      <c r="AI3" s="3" t="str">
        <f>IFERROR(SUM(AH5,AH7,AH9)/SUM(AG5,AG7,AG9)*100,0)</f>
      </c>
      <c r="AJ3" s="3" t="str">
        <f>AVERAGE(AJ5,AJ7,AJ9)</f>
      </c>
      <c r="AK3" s="3" t="str">
        <f>AVERAGE(AK5,AK7,AK9)</f>
      </c>
      <c r="AL3" s="3" t="str">
        <f>IFERROR(SUM(AK5,AK7,AK9)/SUM(AJ5,AJ7,AJ9)*100,0)</f>
      </c>
      <c r="AM3" s="3" t="str">
        <f>AVERAGE(AM5,AM7,AM9)</f>
      </c>
      <c r="AN3" s="3" t="str">
        <f>AVERAGE(AN5,AN7,AN9)</f>
      </c>
      <c r="AO3" s="3" t="str">
        <f>IFERROR(SUM(AN5,AN7,AN9)/SUM(AM5,AM7,AM9)*100,0)</f>
      </c>
      <c r="AP3" s="3" t="str">
        <f>AVERAGE(AP5,AP7,AP9)</f>
      </c>
      <c r="AQ3" s="3" t="str">
        <f>AVERAGE(AQ5,AQ7,AQ9)</f>
      </c>
      <c r="AR3" s="3" t="str">
        <f>IFERROR(SUM(AQ5,AQ7,AQ9)/SUM(AP5,AP7,AP9)*100,0)</f>
      </c>
      <c r="AS3" s="3" t="str">
        <f>AVERAGE(AS5,AS7,AS9)</f>
      </c>
      <c r="AT3" s="3" t="str">
        <f>AVERAGE(AT5,AT7,AT9)</f>
      </c>
      <c r="AU3" s="3" t="str">
        <f>IFERROR(SUM(AT5,AT7,AT9)/SUM(AS5,AS7,AS9)*100,0)</f>
      </c>
      <c r="AV3" s="3" t="str">
        <f>AVERAGE(AV5,AV7,AV9)</f>
      </c>
      <c r="AW3" s="3" t="str">
        <f>AVERAGE(AW5,AW7,AW9)</f>
      </c>
      <c r="AX3" s="3" t="str">
        <f>IFERROR(SUM(AW5,AW7,AW9)/SUM(AV5,AV7,AV9)*100,0)</f>
      </c>
      <c r="AY3" s="3" t="str">
        <f>AVERAGE(AY5,AY7,AY9)</f>
      </c>
      <c r="AZ3" s="3" t="str">
        <f>AVERAGE(AZ5,AZ7,AZ9)</f>
      </c>
      <c r="BA3" s="3" t="str">
        <f>AVERAGE(BA5,BA7,BA9)</f>
      </c>
      <c r="BB3" s="3" t="str">
        <f>AVERAGE(BB5,BB7,BB9)</f>
      </c>
      <c r="BC3" s="3" t="str">
        <f>AVERAGE(BC5,BC7,BC9)</f>
      </c>
      <c r="BD3" s="3" t="str">
        <f>AVERAGE(BD5,BD7,BD9)</f>
      </c>
      <c r="BE3" s="3" t="str">
        <f>AVERAGE(BE5,BE7,BE9)</f>
      </c>
      <c r="BF3" s="3" t="str">
        <f>AVERAGE(BF5,BF7,BF9)</f>
      </c>
      <c r="BG3" s="3" t="str">
        <f>IFERROR(SUM(BF5,BF7,BF9)/SUM(BE5,BE7,BE9)*100,0)</f>
      </c>
      <c r="BH3" s="3" t="str">
        <f>AVERAGE(BH5,BH7,BH9)</f>
      </c>
      <c r="BI3" s="3" t="str">
        <f>AVERAGE(BI5,BI7,BI9)</f>
      </c>
      <c r="BJ3" s="3" t="str">
        <f>AVERAGE(BJ5,BJ7,BJ9)</f>
      </c>
      <c r="BK3" s="3" t="str">
        <f>AVERAGE(BK5,BK7,BK9)</f>
      </c>
      <c r="BL3" s="3" t="str">
        <f>IFERROR(SUM(BK5,BK7,BK9)/SUM(BJ5,BJ7,BJ9)*100,0)</f>
      </c>
      <c r="BM3" s="3" t="str">
        <f>AVERAGE(BM5,BM7,BM9)</f>
      </c>
      <c r="BN3" s="3" t="str">
        <f>AVERAGE(BN5,BN7,BN9)</f>
      </c>
      <c r="BO3" s="3" t="str">
        <f>IFERROR(SUM(BN5,BN7,BN9)/SUM(BM5,BM7,BM9)*100,0)</f>
      </c>
      <c r="BP3" s="3" t="str">
        <f>AVERAGE(BP5,BP7,BP9)</f>
      </c>
      <c r="BQ3" s="3" t="str">
        <f>AVERAGE(BQ5,BQ7,BQ9)</f>
      </c>
      <c r="BR3" s="3" t="str">
        <f>IFERROR(SUM(BQ5,BQ7,BQ9)/SUM(BP5,BP7,BP9)*100,0)</f>
      </c>
      <c r="BS3" s="3" t="str">
        <f>AVERAGE(BS5,BS7,BS9)</f>
      </c>
      <c r="BT3" s="3" t="str">
        <f>AVERAGE(BT5,BT7,BT9)</f>
      </c>
      <c r="BU3" s="3" t="str">
        <f>IFERROR(SUM(BT5,BT7,BT9)/SUM(BS5,BS7,BS9)*100,0)</f>
      </c>
      <c r="BV3" s="3" t="str">
        <f>AVERAGE(BV5,BV7,BV9)</f>
      </c>
      <c r="BW3" s="3" t="str">
        <f>AVERAGE(BW5,BW7,BW9)</f>
      </c>
      <c r="BX3" s="3" t="str">
        <f>AVERAGE(BX5,BX7,BX9)</f>
      </c>
      <c r="BY3" s="3" t="str">
        <f>AVERAGE(BY5,BY7,BY9)</f>
      </c>
      <c r="BZ3" s="3" t="str">
        <f>AVERAGE(BZ5,BZ7,BZ9)</f>
      </c>
      <c r="CA3" s="3" t="str">
        <f>AVERAGE(CA5,CA7,CA9)</f>
      </c>
      <c r="CB3" s="3" t="str">
        <f>AVERAGE(CB5,CB7,CB9)</f>
      </c>
      <c r="CC3" s="3" t="str">
        <f>IFERROR(SUM(CB5,CB7,CB9)/SUM(CA5,CA7,CA9)*100,0)</f>
      </c>
      <c r="CD3" s="3" t="str">
        <f>AVERAGE(CD5,CD7,CD9)</f>
      </c>
      <c r="CE3" s="3" t="str">
        <f>AVERAGE(CE5,CE7,CE9)</f>
      </c>
      <c r="CF3" s="3" t="str">
        <f>IFERROR(SUM(CE5,CE7,CE9)/SUM(CD5,CD7,CD9)*100,0)</f>
      </c>
      <c r="CG3" s="3" t="str">
        <f>AVERAGE(CG5,CG7,CG9)</f>
      </c>
      <c r="CH3" s="3" t="str">
        <f>AVERAGE(CH5,CH7,CH9)</f>
      </c>
      <c r="CI3" s="3" t="str">
        <f>IFERROR(SUM(CH5,CH7,CH9)/SUM(CG5,CG7,CG9)*100,0)</f>
      </c>
      <c r="CJ3" s="3" t="str">
        <f>AVERAGE(CJ5,CJ7,CJ9)</f>
      </c>
      <c r="CK3" s="3" t="str">
        <f>AVERAGE(CK5,CK7,CK9)</f>
      </c>
      <c r="CL3" s="3" t="str">
        <f>IFERROR(SUM(CK5,CK7,CK9)/SUM(CJ5,CJ7,CJ9)*100,0)</f>
      </c>
      <c r="CM3" s="3" t="str">
        <f>AVERAGE(CM5,CM7,CM9)</f>
      </c>
      <c r="CN3" s="3" t="str">
        <f>AVERAGE(CN5,CN7,CN9)</f>
      </c>
      <c r="CO3" s="3" t="str">
        <f>IFERROR(SUM(CN5,CN7,CN9)/SUM(CM5,CM7,CM9)*100,0)</f>
      </c>
      <c r="CP3" s="3" t="str">
        <f>AVERAGE(CP5,CP7,CP9)</f>
      </c>
      <c r="CQ3" s="3" t="str">
        <f>AVERAGE(CQ5,CQ7,CQ9)</f>
      </c>
      <c r="CR3" s="3" t="str">
        <f>IFERROR(SUM(CQ5,CQ7,CQ9)/SUM(CP5,CP7,CP9)*100,0)</f>
      </c>
      <c r="CS3" s="3" t="str">
        <f>AVERAGE(CS5,CS7,CS9)</f>
      </c>
      <c r="CT3" s="3" t="str">
        <f>AVERAGE(CT5,CT7,CT9)</f>
      </c>
      <c r="CU3" s="3" t="str">
        <f>IFERROR(SUM(CT5,CT7,CT9)/SUM(CS5,CS7,CS9)*100,0)</f>
      </c>
      <c r="CV3" s="3" t="str">
        <f>AVERAGE(CV5,CV7,CV9)</f>
      </c>
      <c r="CW3" s="3" t="str">
        <f>AVERAGE(CW5,CW7,CW9)</f>
      </c>
      <c r="CX3" s="3" t="str">
        <f>IFERROR(SUM(CW5,CW7,CW9)/SUM(CV5,CV7,CV9)*100,0)</f>
      </c>
      <c r="CY3" s="3" t="str">
        <f>AVERAGE(CY5,CY7,CY9)</f>
      </c>
      <c r="CZ3" s="3" t="str">
        <f>AVERAGE(CZ5,CZ7,CZ9)</f>
      </c>
      <c r="DA3" s="3" t="str">
        <f>AVERAGE(DA5,DA7,DA9)</f>
      </c>
      <c r="DB3" s="3" t="str">
        <f>AVERAGE(DB5,DB7,DB9)</f>
      </c>
      <c r="DC3" s="3" t="str">
        <f>AVERAGE(DC5,DC7,DC9)</f>
      </c>
      <c r="DD3" s="3" t="str">
        <f>AVERAGE(DD5,DD7,DD9)</f>
      </c>
      <c r="DE3" s="3" t="str">
        <f>AVERAGE(DE5,DE7,DE9)</f>
      </c>
    </row>
    <row ht="12" customHeight="true" r="4">
      <c r="A4" s="0" t="inlineStr">
        <is>
          <t>2026-09-12</t>
        </is>
      </c>
      <c r="B4" s="0" t="inlineStr">
        <is>
          <t>Águilas - Real Madrid Castilla 1:0</t>
        </is>
      </c>
      <c r="C4" s="0" t="inlineStr">
        <is>
          <t>Spain. Primera Division RFEF</t>
        </is>
      </c>
      <c r="D4" s="0" t="n">
        <v>102</v>
      </c>
      <c r="E4" s="0" t="inlineStr">
        <is>
          <t>Real Madrid Castilla</t>
        </is>
      </c>
      <c r="F4" s="0" t="inlineStr">
        <is>
          <t>4-2-3-1 (100.0%)</t>
        </is>
      </c>
      <c r="G4" s="0" t="n">
        <v>0</v>
      </c>
      <c r="H4" s="0" t="n">
        <v>2.32</v>
      </c>
      <c r="I4" s="0" t="n">
        <v>14.0</v>
      </c>
      <c r="J4" s="0" t="n">
        <v>2.0</v>
      </c>
      <c r="K4" s="0" t="n">
        <v>14.29</v>
      </c>
      <c r="L4" s="0" t="n">
        <v>466.0</v>
      </c>
      <c r="M4" s="0" t="n">
        <v>410.0</v>
      </c>
      <c r="N4" s="0" t="n">
        <v>87.98</v>
      </c>
      <c r="O4" s="0" t="n">
        <v>71.04</v>
      </c>
      <c r="P4" s="0" t="n">
        <v>101.0</v>
      </c>
      <c r="Q4" s="0" t="n">
        <v>20.0</v>
      </c>
      <c r="R4" s="0" t="n">
        <v>38.0</v>
      </c>
      <c r="S4" s="0" t="n">
        <v>43.0</v>
      </c>
      <c r="T4" s="0" t="n">
        <v>65.0</v>
      </c>
      <c r="U4" s="0" t="n">
        <v>29.0</v>
      </c>
      <c r="V4" s="0" t="n">
        <v>29.0</v>
      </c>
      <c r="W4" s="0" t="n">
        <v>7.0</v>
      </c>
      <c r="X4" s="0" t="n">
        <v>141.0</v>
      </c>
      <c r="Y4" s="0" t="n">
        <v>73.0</v>
      </c>
      <c r="Z4" s="0" t="n">
        <v>51.77</v>
      </c>
      <c r="AA4" s="0" t="n">
        <v>6.0</v>
      </c>
      <c r="AB4" s="0" t="n">
        <v>0.0</v>
      </c>
      <c r="AC4" s="0" t="n">
        <v>0.0</v>
      </c>
      <c r="AD4" s="0" t="n">
        <v>27</v>
      </c>
      <c r="AE4" s="0" t="n">
        <v>6</v>
      </c>
      <c r="AF4" s="0" t="n">
        <v>22.22</v>
      </c>
      <c r="AG4" s="0" t="n">
        <v>2</v>
      </c>
      <c r="AH4" s="0" t="n">
        <v>0</v>
      </c>
      <c r="AI4" s="0" t="n">
        <v>0.0</v>
      </c>
      <c r="AJ4" s="0" t="n">
        <v>30</v>
      </c>
      <c r="AK4" s="0" t="n">
        <v>7</v>
      </c>
      <c r="AL4" s="0" t="n">
        <v>23.33</v>
      </c>
      <c r="AM4" s="0" t="n">
        <v>3.0</v>
      </c>
      <c r="AN4" s="0" t="n">
        <v>2.0</v>
      </c>
      <c r="AO4" s="0" t="n">
        <v>66.67</v>
      </c>
      <c r="AP4" s="0" t="n">
        <v>4.0</v>
      </c>
      <c r="AQ4" s="0" t="n">
        <v>0.0</v>
      </c>
      <c r="AR4" s="0" t="n">
        <v>0.0</v>
      </c>
      <c r="AS4" s="0" t="n">
        <v>1.0</v>
      </c>
      <c r="AT4" s="0" t="n">
        <v>0.0</v>
      </c>
      <c r="AU4" s="0" t="n">
        <v>0.0</v>
      </c>
      <c r="AV4" s="0" t="n">
        <v>18.0</v>
      </c>
      <c r="AW4" s="0" t="n">
        <v>8.0</v>
      </c>
      <c r="AX4" s="0" t="n">
        <v>44.44</v>
      </c>
      <c r="AY4" s="0" t="n">
        <v>9.0</v>
      </c>
      <c r="AZ4" s="0" t="n">
        <v>6.0</v>
      </c>
      <c r="BA4" s="0" t="n">
        <v>22.0</v>
      </c>
      <c r="BB4" s="0" t="n">
        <v>1.0</v>
      </c>
      <c r="BC4" s="0" t="n">
        <v>11.0</v>
      </c>
      <c r="BD4" s="0" t="n">
        <v>17.0</v>
      </c>
      <c r="BE4" s="0" t="n">
        <v>57.0</v>
      </c>
      <c r="BF4" s="0" t="n">
        <v>27.0</v>
      </c>
      <c r="BG4" s="0" t="n">
        <v>47.37</v>
      </c>
      <c r="BH4" s="0" t="n">
        <v>1.0</v>
      </c>
      <c r="BI4" s="0" t="n">
        <v>1.0</v>
      </c>
      <c r="BJ4" s="0" t="n">
        <v>13.0</v>
      </c>
      <c r="BK4" s="0" t="n">
        <v>2.0</v>
      </c>
      <c r="BL4" s="0" t="n">
        <v>15.38</v>
      </c>
      <c r="BM4" s="0" t="n">
        <v>44.0</v>
      </c>
      <c r="BN4" s="0" t="n">
        <v>27.0</v>
      </c>
      <c r="BO4" s="0" t="n">
        <v>61.36</v>
      </c>
      <c r="BP4" s="0" t="n">
        <v>26.0</v>
      </c>
      <c r="BQ4" s="0" t="n">
        <v>12.0</v>
      </c>
      <c r="BR4" s="0" t="n">
        <v>46.15</v>
      </c>
      <c r="BS4" s="0" t="n">
        <v>2.0</v>
      </c>
      <c r="BT4" s="0" t="n">
        <v>2.0</v>
      </c>
      <c r="BU4" s="0" t="n">
        <v>100.0</v>
      </c>
      <c r="BV4" s="0" t="n">
        <v>35.0</v>
      </c>
      <c r="BW4" s="0" t="n">
        <v>29.0</v>
      </c>
      <c r="BX4" s="0" t="n">
        <v>4.0</v>
      </c>
      <c r="BY4" s="0" t="n">
        <v>2.0</v>
      </c>
      <c r="BZ4" s="0" t="n">
        <v>0.0</v>
      </c>
      <c r="CA4" s="0" t="n">
        <v>160.0</v>
      </c>
      <c r="CB4" s="0" t="n">
        <v>126.0</v>
      </c>
      <c r="CC4" s="0" t="n">
        <v>78.75</v>
      </c>
      <c r="CD4" s="0" t="n">
        <v>45.0</v>
      </c>
      <c r="CE4" s="0" t="n">
        <v>44.0</v>
      </c>
      <c r="CF4" s="0" t="n">
        <v>97.78</v>
      </c>
      <c r="CG4" s="0" t="n">
        <v>197.0</v>
      </c>
      <c r="CH4" s="0" t="n">
        <v>183.0</v>
      </c>
      <c r="CI4" s="0" t="n">
        <v>92.89</v>
      </c>
      <c r="CJ4" s="0" t="n">
        <v>28.0</v>
      </c>
      <c r="CK4" s="0" t="n">
        <v>18.0</v>
      </c>
      <c r="CL4" s="0" t="n">
        <v>64.29</v>
      </c>
      <c r="CM4" s="0" t="n">
        <v>61.0</v>
      </c>
      <c r="CN4" s="0" t="n">
        <v>45.0</v>
      </c>
      <c r="CO4" s="0" t="n">
        <v>73.77</v>
      </c>
      <c r="CP4" s="0" t="n">
        <v>69.0</v>
      </c>
      <c r="CQ4" s="0" t="n">
        <v>58.0</v>
      </c>
      <c r="CR4" s="0" t="n">
        <v>84.06</v>
      </c>
      <c r="CS4" s="0" t="n">
        <v>0.0</v>
      </c>
      <c r="CT4" s="0" t="n">
        <v>0.0</v>
      </c>
      <c r="CU4" s="0" t="n">
        <v>0</v>
      </c>
      <c r="CV4" s="0" t="n">
        <v>14.0</v>
      </c>
      <c r="CW4" s="0" t="n">
        <v>9.0</v>
      </c>
      <c r="CX4" s="0" t="n">
        <v>64.29</v>
      </c>
      <c r="CY4" s="0" t="n">
        <v>8.0</v>
      </c>
      <c r="CZ4" s="0" t="n">
        <v>14.37</v>
      </c>
      <c r="DA4" s="0" t="n">
        <v>5.24</v>
      </c>
      <c r="DB4" s="0" t="n">
        <v>6.01</v>
      </c>
      <c r="DC4" s="0" t="n">
        <v>16.76</v>
      </c>
      <c r="DD4" s="0" t="n">
        <v>19.45</v>
      </c>
      <c r="DE4" s="0" t="n">
        <v>8.86</v>
      </c>
    </row>
    <row ht="12" customHeight="true" r="5">
      <c r="A5" s="0" t="inlineStr">
        <is>
          <t>2026-09-12</t>
        </is>
      </c>
      <c r="B5" s="0" t="inlineStr">
        <is>
          <t>Águilas - Real Madrid Castilla 1:0</t>
        </is>
      </c>
      <c r="C5" s="0" t="inlineStr">
        <is>
          <t>Spain. Primera Division RFEF</t>
        </is>
      </c>
      <c r="D5" s="0" t="n">
        <v>102</v>
      </c>
      <c r="E5" s="0" t="inlineStr">
        <is>
          <t>Águilas</t>
        </is>
      </c>
      <c r="F5" s="0" t="inlineStr">
        <is>
          <t>4-4-2 (88.21%)</t>
        </is>
      </c>
      <c r="G5" s="0" t="n">
        <v>1</v>
      </c>
      <c r="H5" s="0" t="n">
        <v>1.16</v>
      </c>
      <c r="I5" s="0" t="n">
        <v>13.0</v>
      </c>
      <c r="J5" s="0" t="n">
        <v>2.0</v>
      </c>
      <c r="K5" s="0" t="n">
        <v>15.38</v>
      </c>
      <c r="L5" s="0" t="n">
        <v>183.0</v>
      </c>
      <c r="M5" s="0" t="n">
        <v>118.0</v>
      </c>
      <c r="N5" s="0" t="n">
        <v>64.48</v>
      </c>
      <c r="O5" s="0" t="n">
        <v>28.96</v>
      </c>
      <c r="P5" s="0" t="n">
        <v>102.0</v>
      </c>
      <c r="Q5" s="0" t="n">
        <v>21.0</v>
      </c>
      <c r="R5" s="0" t="n">
        <v>36.0</v>
      </c>
      <c r="S5" s="0" t="n">
        <v>45.0</v>
      </c>
      <c r="T5" s="0" t="n">
        <v>60.0</v>
      </c>
      <c r="U5" s="0" t="n">
        <v>28.0</v>
      </c>
      <c r="V5" s="0" t="n">
        <v>26.0</v>
      </c>
      <c r="W5" s="0" t="n">
        <v>6.0</v>
      </c>
      <c r="X5" s="0" t="n">
        <v>141.0</v>
      </c>
      <c r="Y5" s="0" t="n">
        <v>66.0</v>
      </c>
      <c r="Z5" s="0" t="n">
        <v>46.81</v>
      </c>
      <c r="AA5" s="0" t="n">
        <v>7.0</v>
      </c>
      <c r="AB5" s="0" t="n">
        <v>1.0</v>
      </c>
      <c r="AC5" s="0" t="n">
        <v>14.29</v>
      </c>
      <c r="AD5" s="0" t="n">
        <v>20</v>
      </c>
      <c r="AE5" s="0" t="n">
        <v>6</v>
      </c>
      <c r="AF5" s="0" t="n">
        <v>30.0</v>
      </c>
      <c r="AG5" s="0" t="n">
        <v>1</v>
      </c>
      <c r="AH5" s="0" t="n">
        <v>0</v>
      </c>
      <c r="AI5" s="0" t="n">
        <v>0.0</v>
      </c>
      <c r="AJ5" s="0" t="n">
        <v>22</v>
      </c>
      <c r="AK5" s="0" t="n">
        <v>6</v>
      </c>
      <c r="AL5" s="0" t="n">
        <v>27.27</v>
      </c>
      <c r="AM5" s="0" t="n">
        <v>7.0</v>
      </c>
      <c r="AN5" s="0" t="n">
        <v>2.0</v>
      </c>
      <c r="AO5" s="0" t="n">
        <v>28.57</v>
      </c>
      <c r="AP5" s="0" t="n">
        <v>1.0</v>
      </c>
      <c r="AQ5" s="0" t="n">
        <v>1.0</v>
      </c>
      <c r="AR5" s="0" t="n">
        <v>100.0</v>
      </c>
      <c r="AS5" s="0" t="n">
        <v>0.0</v>
      </c>
      <c r="AT5" s="0" t="n">
        <v>0.0</v>
      </c>
      <c r="AU5" s="0" t="n">
        <v>0</v>
      </c>
      <c r="AV5" s="0" t="n">
        <v>11.0</v>
      </c>
      <c r="AW5" s="0" t="n">
        <v>4.0</v>
      </c>
      <c r="AX5" s="0" t="n">
        <v>36.36</v>
      </c>
      <c r="AY5" s="0" t="n">
        <v>4.0</v>
      </c>
      <c r="AZ5" s="0" t="n">
        <v>5.0</v>
      </c>
      <c r="BA5" s="0" t="n">
        <v>20.0</v>
      </c>
      <c r="BB5" s="0" t="n">
        <v>3.0</v>
      </c>
      <c r="BC5" s="0" t="n">
        <v>7.0</v>
      </c>
      <c r="BD5" s="0" t="n">
        <v>14.0</v>
      </c>
      <c r="BE5" s="0" t="n">
        <v>44.0</v>
      </c>
      <c r="BF5" s="0" t="n">
        <v>17.0</v>
      </c>
      <c r="BG5" s="0" t="n">
        <v>38.64</v>
      </c>
      <c r="BH5" s="0" t="n">
        <v>3.0</v>
      </c>
      <c r="BI5" s="0" t="n">
        <v>0.0</v>
      </c>
      <c r="BJ5" s="0" t="n">
        <v>14.0</v>
      </c>
      <c r="BK5" s="0" t="n">
        <v>2.0</v>
      </c>
      <c r="BL5" s="0" t="n">
        <v>14.29</v>
      </c>
      <c r="BM5" s="0" t="n">
        <v>57.0</v>
      </c>
      <c r="BN5" s="0" t="n">
        <v>30.0</v>
      </c>
      <c r="BO5" s="0" t="n">
        <v>52.63</v>
      </c>
      <c r="BP5" s="0" t="n">
        <v>26.0</v>
      </c>
      <c r="BQ5" s="0" t="n">
        <v>14.0</v>
      </c>
      <c r="BR5" s="0" t="n">
        <v>53.85</v>
      </c>
      <c r="BS5" s="0" t="n">
        <v>0.0</v>
      </c>
      <c r="BT5" s="0" t="n">
        <v>0.0</v>
      </c>
      <c r="BU5" s="0" t="n">
        <v>0</v>
      </c>
      <c r="BV5" s="0" t="n">
        <v>31.0</v>
      </c>
      <c r="BW5" s="0" t="n">
        <v>29.0</v>
      </c>
      <c r="BX5" s="0" t="n">
        <v>16.0</v>
      </c>
      <c r="BY5" s="0" t="n">
        <v>6.0</v>
      </c>
      <c r="BZ5" s="0" t="n">
        <v>0.0</v>
      </c>
      <c r="CA5" s="0" t="n">
        <v>81.0</v>
      </c>
      <c r="CB5" s="0" t="n">
        <v>38.0</v>
      </c>
      <c r="CC5" s="0" t="n">
        <v>46.91</v>
      </c>
      <c r="CD5" s="0" t="n">
        <v>30.0</v>
      </c>
      <c r="CE5" s="0" t="n">
        <v>26.0</v>
      </c>
      <c r="CF5" s="0" t="n">
        <v>86.67</v>
      </c>
      <c r="CG5" s="0" t="n">
        <v>47.0</v>
      </c>
      <c r="CH5" s="0" t="n">
        <v>37.0</v>
      </c>
      <c r="CI5" s="0" t="n">
        <v>78.72</v>
      </c>
      <c r="CJ5" s="0" t="n">
        <v>53.0</v>
      </c>
      <c r="CK5" s="0" t="n">
        <v>23.0</v>
      </c>
      <c r="CL5" s="0" t="n">
        <v>43.4</v>
      </c>
      <c r="CM5" s="0" t="n">
        <v>38.0</v>
      </c>
      <c r="CN5" s="0" t="n">
        <v>14.0</v>
      </c>
      <c r="CO5" s="0" t="n">
        <v>36.84</v>
      </c>
      <c r="CP5" s="0" t="n">
        <v>48.0</v>
      </c>
      <c r="CQ5" s="0" t="n">
        <v>30.0</v>
      </c>
      <c r="CR5" s="0" t="n">
        <v>62.5</v>
      </c>
      <c r="CS5" s="0" t="n">
        <v>1.0</v>
      </c>
      <c r="CT5" s="0" t="n">
        <v>1.0</v>
      </c>
      <c r="CU5" s="0" t="n">
        <v>100.0</v>
      </c>
      <c r="CV5" s="0" t="n">
        <v>18.0</v>
      </c>
      <c r="CW5" s="0" t="n">
        <v>16.0</v>
      </c>
      <c r="CX5" s="0" t="n">
        <v>88.89</v>
      </c>
      <c r="CY5" s="0" t="n">
        <v>11.0</v>
      </c>
      <c r="CZ5" s="0" t="n">
        <v>13.84</v>
      </c>
      <c r="DA5" s="0" t="n">
        <v>2.18</v>
      </c>
      <c r="DB5" s="0" t="n">
        <v>28.96</v>
      </c>
      <c r="DC5" s="0" t="n">
        <v>22.52</v>
      </c>
      <c r="DD5" s="0" t="n">
        <v>26.44</v>
      </c>
      <c r="DE5" s="0" t="n">
        <v>15.36</v>
      </c>
    </row>
    <row ht="12" customHeight="true" r="6">
      <c r="A6" s="0" t="inlineStr">
        <is>
          <t>2026-09-05</t>
        </is>
      </c>
      <c r="B6" s="0" t="inlineStr">
        <is>
          <t>Real Madrid Castilla - Juventud Torremolinos 2:0</t>
        </is>
      </c>
      <c r="C6" s="0" t="inlineStr">
        <is>
          <t>Spain. Primera Division RFEF</t>
        </is>
      </c>
      <c r="D6" s="0" t="n">
        <v>102</v>
      </c>
      <c r="E6" s="0" t="inlineStr">
        <is>
          <t>Real Madrid Castilla</t>
        </is>
      </c>
      <c r="F6" s="0" t="inlineStr">
        <is>
          <t>4-2-3-1 (100.0%)</t>
        </is>
      </c>
      <c r="G6" s="0" t="n">
        <v>2</v>
      </c>
      <c r="H6" s="0" t="n">
        <v>3.28</v>
      </c>
      <c r="I6" s="0" t="n">
        <v>19.0</v>
      </c>
      <c r="J6" s="0" t="n">
        <v>8.0</v>
      </c>
      <c r="K6" s="0" t="n">
        <v>42.11</v>
      </c>
      <c r="L6" s="0" t="n">
        <v>474.0</v>
      </c>
      <c r="M6" s="0" t="n">
        <v>400.0</v>
      </c>
      <c r="N6" s="0" t="n">
        <v>84.39</v>
      </c>
      <c r="O6" s="0" t="n">
        <v>54.26</v>
      </c>
      <c r="P6" s="0" t="n">
        <v>102.0</v>
      </c>
      <c r="Q6" s="0" t="n">
        <v>12.0</v>
      </c>
      <c r="R6" s="0" t="n">
        <v>35.0</v>
      </c>
      <c r="S6" s="0" t="n">
        <v>55.0</v>
      </c>
      <c r="T6" s="0" t="n">
        <v>65.0</v>
      </c>
      <c r="U6" s="0" t="n">
        <v>16.0</v>
      </c>
      <c r="V6" s="0" t="n">
        <v>35.0</v>
      </c>
      <c r="W6" s="0" t="n">
        <v>14.0</v>
      </c>
      <c r="X6" s="0" t="n">
        <v>129.0</v>
      </c>
      <c r="Y6" s="0" t="n">
        <v>55.0</v>
      </c>
      <c r="Z6" s="0" t="n">
        <v>42.64</v>
      </c>
      <c r="AA6" s="0" t="n">
        <v>10.0</v>
      </c>
      <c r="AB6" s="0" t="n">
        <v>4.0</v>
      </c>
      <c r="AC6" s="0" t="n">
        <v>40.0</v>
      </c>
      <c r="AD6" s="0" t="n">
        <v>34</v>
      </c>
      <c r="AE6" s="0" t="n">
        <v>12</v>
      </c>
      <c r="AF6" s="0" t="n">
        <v>35.29</v>
      </c>
      <c r="AG6" s="0" t="n">
        <v>0</v>
      </c>
      <c r="AH6" s="0" t="n">
        <v>0</v>
      </c>
      <c r="AI6" s="0" t="n">
        <v>0</v>
      </c>
      <c r="AJ6" s="0" t="n">
        <v>26</v>
      </c>
      <c r="AK6" s="0" t="n">
        <v>5</v>
      </c>
      <c r="AL6" s="0" t="n">
        <v>19.23</v>
      </c>
      <c r="AM6" s="0" t="n">
        <v>9.0</v>
      </c>
      <c r="AN6" s="0" t="n">
        <v>2.0</v>
      </c>
      <c r="AO6" s="0" t="n">
        <v>22.22</v>
      </c>
      <c r="AP6" s="0" t="n">
        <v>3.0</v>
      </c>
      <c r="AQ6" s="0" t="n">
        <v>1.0</v>
      </c>
      <c r="AR6" s="0" t="n">
        <v>33.33</v>
      </c>
      <c r="AS6" s="0" t="n">
        <v>0.0</v>
      </c>
      <c r="AT6" s="0" t="n">
        <v>0.0</v>
      </c>
      <c r="AU6" s="0" t="n">
        <v>0</v>
      </c>
      <c r="AV6" s="0" t="n">
        <v>17.0</v>
      </c>
      <c r="AW6" s="0" t="n">
        <v>10.0</v>
      </c>
      <c r="AX6" s="0" t="n">
        <v>58.82</v>
      </c>
      <c r="AY6" s="0" t="n">
        <v>6.0</v>
      </c>
      <c r="AZ6" s="0" t="n">
        <v>8.0</v>
      </c>
      <c r="BA6" s="0" t="n">
        <v>23.0</v>
      </c>
      <c r="BB6" s="0" t="n">
        <v>7.0</v>
      </c>
      <c r="BC6" s="0" t="n">
        <v>7.0</v>
      </c>
      <c r="BD6" s="0" t="n">
        <v>34.0</v>
      </c>
      <c r="BE6" s="0" t="n">
        <v>62.0</v>
      </c>
      <c r="BF6" s="0" t="n">
        <v>22.0</v>
      </c>
      <c r="BG6" s="0" t="n">
        <v>35.48</v>
      </c>
      <c r="BH6" s="0" t="n">
        <v>2.0</v>
      </c>
      <c r="BI6" s="0" t="n">
        <v>0.0</v>
      </c>
      <c r="BJ6" s="0" t="n">
        <v>5.0</v>
      </c>
      <c r="BK6" s="0" t="n">
        <v>1.0</v>
      </c>
      <c r="BL6" s="0" t="n">
        <v>20.0</v>
      </c>
      <c r="BM6" s="0" t="n">
        <v>39.0</v>
      </c>
      <c r="BN6" s="0" t="n">
        <v>23.0</v>
      </c>
      <c r="BO6" s="0" t="n">
        <v>58.97</v>
      </c>
      <c r="BP6" s="0" t="n">
        <v>16.0</v>
      </c>
      <c r="BQ6" s="0" t="n">
        <v>4.0</v>
      </c>
      <c r="BR6" s="0" t="n">
        <v>25.0</v>
      </c>
      <c r="BS6" s="0" t="n">
        <v>4.0</v>
      </c>
      <c r="BT6" s="0" t="n">
        <v>4.0</v>
      </c>
      <c r="BU6" s="0" t="n">
        <v>100.0</v>
      </c>
      <c r="BV6" s="0" t="n">
        <v>36.0</v>
      </c>
      <c r="BW6" s="0" t="n">
        <v>19.0</v>
      </c>
      <c r="BX6" s="0" t="n">
        <v>12.0</v>
      </c>
      <c r="BY6" s="0" t="n">
        <v>1.0</v>
      </c>
      <c r="BZ6" s="0" t="n">
        <v>0.0</v>
      </c>
      <c r="CA6" s="0" t="n">
        <v>140.0</v>
      </c>
      <c r="CB6" s="0" t="n">
        <v>100.0</v>
      </c>
      <c r="CC6" s="0" t="n">
        <v>71.43</v>
      </c>
      <c r="CD6" s="0" t="n">
        <v>55.0</v>
      </c>
      <c r="CE6" s="0" t="n">
        <v>51.0</v>
      </c>
      <c r="CF6" s="0" t="n">
        <v>92.73</v>
      </c>
      <c r="CG6" s="0" t="n">
        <v>197.0</v>
      </c>
      <c r="CH6" s="0" t="n">
        <v>178.0</v>
      </c>
      <c r="CI6" s="0" t="n">
        <v>90.36</v>
      </c>
      <c r="CJ6" s="0" t="n">
        <v>36.0</v>
      </c>
      <c r="CK6" s="0" t="n">
        <v>14.0</v>
      </c>
      <c r="CL6" s="0" t="n">
        <v>38.89</v>
      </c>
      <c r="CM6" s="0" t="n">
        <v>48.0</v>
      </c>
      <c r="CN6" s="0" t="n">
        <v>30.0</v>
      </c>
      <c r="CO6" s="0" t="n">
        <v>62.5</v>
      </c>
      <c r="CP6" s="0" t="n">
        <v>49.0</v>
      </c>
      <c r="CQ6" s="0" t="n">
        <v>32.0</v>
      </c>
      <c r="CR6" s="0" t="n">
        <v>65.31</v>
      </c>
      <c r="CS6" s="0" t="n">
        <v>0.0</v>
      </c>
      <c r="CT6" s="0" t="n">
        <v>0.0</v>
      </c>
      <c r="CU6" s="0" t="n">
        <v>0</v>
      </c>
      <c r="CV6" s="0" t="n">
        <v>21.0</v>
      </c>
      <c r="CW6" s="0" t="n">
        <v>19.0</v>
      </c>
      <c r="CX6" s="0" t="n">
        <v>90.48</v>
      </c>
      <c r="CY6" s="0" t="n">
        <v>7.0</v>
      </c>
      <c r="CZ6" s="0" t="n">
        <v>16.32</v>
      </c>
      <c r="DA6" s="0" t="n">
        <v>4.47</v>
      </c>
      <c r="DB6" s="0" t="n">
        <v>7.59</v>
      </c>
      <c r="DC6" s="0" t="n">
        <v>17.26</v>
      </c>
      <c r="DD6" s="0" t="n">
        <v>18.18</v>
      </c>
      <c r="DE6" s="0" t="n">
        <v>10.88</v>
      </c>
    </row>
    <row ht="12" customHeight="true" r="7">
      <c r="A7" s="0" t="inlineStr">
        <is>
          <t>2026-09-05</t>
        </is>
      </c>
      <c r="B7" s="0" t="inlineStr">
        <is>
          <t>Real Madrid Castilla - Juventud Torremolinos 2:0</t>
        </is>
      </c>
      <c r="C7" s="0" t="inlineStr">
        <is>
          <t>Spain. Primera Division RFEF</t>
        </is>
      </c>
      <c r="D7" s="0" t="n">
        <v>102</v>
      </c>
      <c r="E7" s="0" t="inlineStr">
        <is>
          <t>Juventud Torremolinos</t>
        </is>
      </c>
      <c r="F7" s="0" t="inlineStr">
        <is>
          <t>4-4-2 (100.0%)</t>
        </is>
      </c>
      <c r="G7" s="0" t="n">
        <v>0</v>
      </c>
      <c r="H7" s="0" t="n">
        <v>0.83</v>
      </c>
      <c r="I7" s="0" t="n">
        <v>5.0</v>
      </c>
      <c r="J7" s="0" t="n">
        <v>1.0</v>
      </c>
      <c r="K7" s="0" t="n">
        <v>20.0</v>
      </c>
      <c r="L7" s="0" t="n">
        <v>472.0</v>
      </c>
      <c r="M7" s="0" t="n">
        <v>396.0</v>
      </c>
      <c r="N7" s="0" t="n">
        <v>83.9</v>
      </c>
      <c r="O7" s="0" t="n">
        <v>45.74</v>
      </c>
      <c r="P7" s="0" t="n">
        <v>107.0</v>
      </c>
      <c r="Q7" s="0" t="n">
        <v>32.0</v>
      </c>
      <c r="R7" s="0" t="n">
        <v>51.0</v>
      </c>
      <c r="S7" s="0" t="n">
        <v>24.0</v>
      </c>
      <c r="T7" s="0" t="n">
        <v>65.0</v>
      </c>
      <c r="U7" s="0" t="n">
        <v>34.0</v>
      </c>
      <c r="V7" s="0" t="n">
        <v>27.0</v>
      </c>
      <c r="W7" s="0" t="n">
        <v>4.0</v>
      </c>
      <c r="X7" s="0" t="n">
        <v>129.0</v>
      </c>
      <c r="Y7" s="0" t="n">
        <v>74.0</v>
      </c>
      <c r="Z7" s="0" t="n">
        <v>57.36</v>
      </c>
      <c r="AA7" s="0" t="n">
        <v>1.0</v>
      </c>
      <c r="AB7" s="0" t="n">
        <v>0.0</v>
      </c>
      <c r="AC7" s="0" t="n">
        <v>0.0</v>
      </c>
      <c r="AD7" s="0" t="n">
        <v>12</v>
      </c>
      <c r="AE7" s="0" t="n">
        <v>4</v>
      </c>
      <c r="AF7" s="0" t="n">
        <v>33.33</v>
      </c>
      <c r="AG7" s="0" t="n">
        <v>0</v>
      </c>
      <c r="AH7" s="0" t="n">
        <v>0</v>
      </c>
      <c r="AI7" s="0" t="n">
        <v>0</v>
      </c>
      <c r="AJ7" s="0" t="n">
        <v>20</v>
      </c>
      <c r="AK7" s="0" t="n">
        <v>1</v>
      </c>
      <c r="AL7" s="0" t="n">
        <v>5.0</v>
      </c>
      <c r="AM7" s="0" t="n">
        <v>2.0</v>
      </c>
      <c r="AN7" s="0" t="n">
        <v>0.0</v>
      </c>
      <c r="AO7" s="0" t="n">
        <v>0.0</v>
      </c>
      <c r="AP7" s="0" t="n">
        <v>0.0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</v>
      </c>
      <c r="AV7" s="0" t="n">
        <v>8.0</v>
      </c>
      <c r="AW7" s="0" t="n">
        <v>3.0</v>
      </c>
      <c r="AX7" s="0" t="n">
        <v>37.5</v>
      </c>
      <c r="AY7" s="0" t="n">
        <v>4.0</v>
      </c>
      <c r="AZ7" s="0" t="n">
        <v>3.0</v>
      </c>
      <c r="BA7" s="0" t="n">
        <v>12.0</v>
      </c>
      <c r="BB7" s="0" t="n">
        <v>2.0</v>
      </c>
      <c r="BC7" s="0" t="n">
        <v>6.0</v>
      </c>
      <c r="BD7" s="0" t="n">
        <v>6.0</v>
      </c>
      <c r="BE7" s="0" t="n">
        <v>39.0</v>
      </c>
      <c r="BF7" s="0" t="n">
        <v>16.0</v>
      </c>
      <c r="BG7" s="0" t="n">
        <v>41.03</v>
      </c>
      <c r="BH7" s="0" t="n">
        <v>1.0</v>
      </c>
      <c r="BI7" s="0" t="n">
        <v>2.0</v>
      </c>
      <c r="BJ7" s="0" t="n">
        <v>19.0</v>
      </c>
      <c r="BK7" s="0" t="n">
        <v>8.0</v>
      </c>
      <c r="BL7" s="0" t="n">
        <v>42.11</v>
      </c>
      <c r="BM7" s="0" t="n">
        <v>62.0</v>
      </c>
      <c r="BN7" s="0" t="n">
        <v>40.0</v>
      </c>
      <c r="BO7" s="0" t="n">
        <v>64.52</v>
      </c>
      <c r="BP7" s="0" t="n">
        <v>16.0</v>
      </c>
      <c r="BQ7" s="0" t="n">
        <v>12.0</v>
      </c>
      <c r="BR7" s="0" t="n">
        <v>75.0</v>
      </c>
      <c r="BS7" s="0" t="n">
        <v>2.0</v>
      </c>
      <c r="BT7" s="0" t="n">
        <v>1.0</v>
      </c>
      <c r="BU7" s="0" t="n">
        <v>50.0</v>
      </c>
      <c r="BV7" s="0" t="n">
        <v>51.0</v>
      </c>
      <c r="BW7" s="0" t="n">
        <v>17.0</v>
      </c>
      <c r="BX7" s="0" t="n">
        <v>10.0</v>
      </c>
      <c r="BY7" s="0" t="n">
        <v>2.0</v>
      </c>
      <c r="BZ7" s="0" t="n">
        <v>0.0</v>
      </c>
      <c r="CA7" s="0" t="n">
        <v>142.0</v>
      </c>
      <c r="CB7" s="0" t="n">
        <v>95.0</v>
      </c>
      <c r="CC7" s="0" t="n">
        <v>66.9</v>
      </c>
      <c r="CD7" s="0" t="n">
        <v>70.0</v>
      </c>
      <c r="CE7" s="0" t="n">
        <v>66.0</v>
      </c>
      <c r="CF7" s="0" t="n">
        <v>94.29</v>
      </c>
      <c r="CG7" s="0" t="n">
        <v>184.0</v>
      </c>
      <c r="CH7" s="0" t="n">
        <v>167.0</v>
      </c>
      <c r="CI7" s="0" t="n">
        <v>90.76</v>
      </c>
      <c r="CJ7" s="0" t="n">
        <v>41.0</v>
      </c>
      <c r="CK7" s="0" t="n">
        <v>18.0</v>
      </c>
      <c r="CL7" s="0" t="n">
        <v>43.9</v>
      </c>
      <c r="CM7" s="0" t="n">
        <v>32.0</v>
      </c>
      <c r="CN7" s="0" t="n">
        <v>17.0</v>
      </c>
      <c r="CO7" s="0" t="n">
        <v>53.13</v>
      </c>
      <c r="CP7" s="0" t="n">
        <v>56.0</v>
      </c>
      <c r="CQ7" s="0" t="n">
        <v>22.0</v>
      </c>
      <c r="CR7" s="0" t="n">
        <v>39.29</v>
      </c>
      <c r="CS7" s="0" t="n">
        <v>2.0</v>
      </c>
      <c r="CT7" s="0" t="n">
        <v>2.0</v>
      </c>
      <c r="CU7" s="0" t="n">
        <v>100.0</v>
      </c>
      <c r="CV7" s="0" t="n">
        <v>26.0</v>
      </c>
      <c r="CW7" s="0" t="n">
        <v>22.0</v>
      </c>
      <c r="CX7" s="0" t="n">
        <v>84.62</v>
      </c>
      <c r="CY7" s="0" t="n">
        <v>5.0</v>
      </c>
      <c r="CZ7" s="0" t="n">
        <v>19.29</v>
      </c>
      <c r="DA7" s="0" t="n">
        <v>4.72</v>
      </c>
      <c r="DB7" s="0" t="n">
        <v>8.69</v>
      </c>
      <c r="DC7" s="0" t="n">
        <v>12.71</v>
      </c>
      <c r="DD7" s="0" t="n">
        <v>18.15</v>
      </c>
      <c r="DE7" s="0" t="n">
        <v>17.95</v>
      </c>
    </row>
    <row ht="12" customHeight="true" r="8">
      <c r="A8" s="0" t="inlineStr">
        <is>
          <t>2026-08-31</t>
        </is>
      </c>
      <c r="B8" s="0" t="inlineStr">
        <is>
          <t>Teruel - Real Madrid Castilla 0:0</t>
        </is>
      </c>
      <c r="C8" s="0" t="inlineStr">
        <is>
          <t>Spain. Primera Division RFEF</t>
        </is>
      </c>
      <c r="D8" s="0" t="n">
        <v>100</v>
      </c>
      <c r="E8" s="0" t="inlineStr">
        <is>
          <t>Real Madrid Castilla</t>
        </is>
      </c>
      <c r="F8" s="0" t="inlineStr">
        <is>
          <t>4-2-3-1 (100.0%)</t>
        </is>
      </c>
      <c r="G8" s="0" t="n">
        <v>0</v>
      </c>
      <c r="H8" s="0" t="n">
        <v>2.03</v>
      </c>
      <c r="I8" s="0" t="n">
        <v>19.0</v>
      </c>
      <c r="J8" s="0" t="n">
        <v>2.0</v>
      </c>
      <c r="K8" s="0" t="n">
        <v>10.53</v>
      </c>
      <c r="L8" s="0" t="n">
        <v>474.0</v>
      </c>
      <c r="M8" s="0" t="n">
        <v>402.0</v>
      </c>
      <c r="N8" s="0" t="n">
        <v>84.81</v>
      </c>
      <c r="O8" s="0" t="n">
        <v>65.3</v>
      </c>
      <c r="P8" s="0" t="n">
        <v>118.0</v>
      </c>
      <c r="Q8" s="0" t="n">
        <v>20.0</v>
      </c>
      <c r="R8" s="0" t="n">
        <v>43.0</v>
      </c>
      <c r="S8" s="0" t="n">
        <v>55.0</v>
      </c>
      <c r="T8" s="0" t="n">
        <v>83.0</v>
      </c>
      <c r="U8" s="0" t="n">
        <v>31.0</v>
      </c>
      <c r="V8" s="0" t="n">
        <v>35.0</v>
      </c>
      <c r="W8" s="0" t="n">
        <v>17.0</v>
      </c>
      <c r="X8" s="0" t="n">
        <v>140.0</v>
      </c>
      <c r="Y8" s="0" t="n">
        <v>77.0</v>
      </c>
      <c r="Z8" s="0" t="n">
        <v>55.0</v>
      </c>
      <c r="AA8" s="0" t="n">
        <v>7.0</v>
      </c>
      <c r="AB8" s="0" t="n">
        <v>0.0</v>
      </c>
      <c r="AC8" s="0" t="n">
        <v>0.0</v>
      </c>
      <c r="AD8" s="0" t="n">
        <v>28</v>
      </c>
      <c r="AE8" s="0" t="n">
        <v>10</v>
      </c>
      <c r="AF8" s="0" t="n">
        <v>35.71</v>
      </c>
      <c r="AG8" s="0" t="n">
        <v>1</v>
      </c>
      <c r="AH8" s="0" t="n">
        <v>0</v>
      </c>
      <c r="AI8" s="0" t="n">
        <v>0.0</v>
      </c>
      <c r="AJ8" s="0" t="n">
        <v>40</v>
      </c>
      <c r="AK8" s="0" t="n">
        <v>7</v>
      </c>
      <c r="AL8" s="0" t="n">
        <v>17.5</v>
      </c>
      <c r="AM8" s="0" t="n">
        <v>13.0</v>
      </c>
      <c r="AN8" s="0" t="n">
        <v>3.0</v>
      </c>
      <c r="AO8" s="0" t="n">
        <v>23.08</v>
      </c>
      <c r="AP8" s="0" t="n">
        <v>3.0</v>
      </c>
      <c r="AQ8" s="0" t="n">
        <v>0.0</v>
      </c>
      <c r="AR8" s="0" t="n">
        <v>0.0</v>
      </c>
      <c r="AS8" s="0" t="n">
        <v>1.0</v>
      </c>
      <c r="AT8" s="0" t="n">
        <v>0.0</v>
      </c>
      <c r="AU8" s="0" t="n">
        <v>0.0</v>
      </c>
      <c r="AV8" s="0" t="n">
        <v>20.0</v>
      </c>
      <c r="AW8" s="0" t="n">
        <v>6.0</v>
      </c>
      <c r="AX8" s="0" t="n">
        <v>30.0</v>
      </c>
      <c r="AY8" s="0" t="n">
        <v>4.0</v>
      </c>
      <c r="AZ8" s="0" t="n">
        <v>9.0</v>
      </c>
      <c r="BA8" s="0" t="n">
        <v>35.0</v>
      </c>
      <c r="BB8" s="0" t="n">
        <v>12.0</v>
      </c>
      <c r="BC8" s="0" t="n">
        <v>13.0</v>
      </c>
      <c r="BD8" s="0" t="n">
        <v>31.0</v>
      </c>
      <c r="BE8" s="0" t="n">
        <v>66.0</v>
      </c>
      <c r="BF8" s="0" t="n">
        <v>38.0</v>
      </c>
      <c r="BG8" s="0" t="n">
        <v>57.58</v>
      </c>
      <c r="BH8" s="0" t="n">
        <v>2.0</v>
      </c>
      <c r="BI8" s="0" t="n">
        <v>0.0</v>
      </c>
      <c r="BJ8" s="0" t="n">
        <v>7.0</v>
      </c>
      <c r="BK8" s="0" t="n">
        <v>2.0</v>
      </c>
      <c r="BL8" s="0" t="n">
        <v>28.57</v>
      </c>
      <c r="BM8" s="0" t="n">
        <v>28.0</v>
      </c>
      <c r="BN8" s="0" t="n">
        <v>15.0</v>
      </c>
      <c r="BO8" s="0" t="n">
        <v>53.57</v>
      </c>
      <c r="BP8" s="0" t="n">
        <v>35.0</v>
      </c>
      <c r="BQ8" s="0" t="n">
        <v>19.0</v>
      </c>
      <c r="BR8" s="0" t="n">
        <v>54.29</v>
      </c>
      <c r="BS8" s="0" t="n">
        <v>1.0</v>
      </c>
      <c r="BT8" s="0" t="n">
        <v>1.0</v>
      </c>
      <c r="BU8" s="0" t="n">
        <v>100.0</v>
      </c>
      <c r="BV8" s="0" t="n">
        <v>23.0</v>
      </c>
      <c r="BW8" s="0" t="n">
        <v>19.0</v>
      </c>
      <c r="BX8" s="0" t="n">
        <v>10.0</v>
      </c>
      <c r="BY8" s="0" t="n">
        <v>0.0</v>
      </c>
      <c r="BZ8" s="0" t="n">
        <v>0.0</v>
      </c>
      <c r="CA8" s="0" t="n">
        <v>153.0</v>
      </c>
      <c r="CB8" s="0" t="n">
        <v>111.0</v>
      </c>
      <c r="CC8" s="0" t="n">
        <v>72.55</v>
      </c>
      <c r="CD8" s="0" t="n">
        <v>64.0</v>
      </c>
      <c r="CE8" s="0" t="n">
        <v>59.0</v>
      </c>
      <c r="CF8" s="0" t="n">
        <v>92.19</v>
      </c>
      <c r="CG8" s="0" t="n">
        <v>192.0</v>
      </c>
      <c r="CH8" s="0" t="n">
        <v>170.0</v>
      </c>
      <c r="CI8" s="0" t="n">
        <v>88.54</v>
      </c>
      <c r="CJ8" s="0" t="n">
        <v>38.0</v>
      </c>
      <c r="CK8" s="0" t="n">
        <v>19.0</v>
      </c>
      <c r="CL8" s="0" t="n">
        <v>50.0</v>
      </c>
      <c r="CM8" s="0" t="n">
        <v>52.0</v>
      </c>
      <c r="CN8" s="0" t="n">
        <v>33.0</v>
      </c>
      <c r="CO8" s="0" t="n">
        <v>63.46</v>
      </c>
      <c r="CP8" s="0" t="n">
        <v>55.0</v>
      </c>
      <c r="CQ8" s="0" t="n">
        <v>42.0</v>
      </c>
      <c r="CR8" s="0" t="n">
        <v>76.36</v>
      </c>
      <c r="CS8" s="0" t="n">
        <v>0.0</v>
      </c>
      <c r="CT8" s="0" t="n">
        <v>0.0</v>
      </c>
      <c r="CU8" s="0" t="n">
        <v>0</v>
      </c>
      <c r="CV8" s="0" t="n">
        <v>18.0</v>
      </c>
      <c r="CW8" s="0" t="n">
        <v>17.0</v>
      </c>
      <c r="CX8" s="0" t="n">
        <v>94.44</v>
      </c>
      <c r="CY8" s="0" t="n">
        <v>6.0</v>
      </c>
      <c r="CZ8" s="0" t="n">
        <v>14.97</v>
      </c>
      <c r="DA8" s="0" t="n">
        <v>4.65</v>
      </c>
      <c r="DB8" s="0" t="n">
        <v>8.02</v>
      </c>
      <c r="DC8" s="0" t="n">
        <v>18.09</v>
      </c>
      <c r="DD8" s="0" t="n">
        <v>19.6</v>
      </c>
      <c r="DE8" s="0" t="n">
        <v>13.13</v>
      </c>
    </row>
    <row ht="12" customHeight="true" r="9">
      <c r="A9" s="0" t="inlineStr">
        <is>
          <t>2026-08-31</t>
        </is>
      </c>
      <c r="B9" s="0" t="inlineStr">
        <is>
          <t>Teruel - Real Madrid Castilla 0:0</t>
        </is>
      </c>
      <c r="C9" s="0" t="inlineStr">
        <is>
          <t>Spain. Primera Division RFEF</t>
        </is>
      </c>
      <c r="D9" s="0" t="n">
        <v>100</v>
      </c>
      <c r="E9" s="0" t="inlineStr">
        <is>
          <t>Teruel</t>
        </is>
      </c>
      <c r="F9" s="0" t="inlineStr">
        <is>
          <t>3-4-3 (93.04%)</t>
        </is>
      </c>
      <c r="G9" s="0" t="n">
        <v>0</v>
      </c>
      <c r="H9" s="0" t="n">
        <v>0.49</v>
      </c>
      <c r="I9" s="0" t="n">
        <v>7.0</v>
      </c>
      <c r="J9" s="0" t="n">
        <v>2.0</v>
      </c>
      <c r="K9" s="0" t="n">
        <v>28.57</v>
      </c>
      <c r="L9" s="0" t="n">
        <v>249.0</v>
      </c>
      <c r="M9" s="0" t="n">
        <v>198.0</v>
      </c>
      <c r="N9" s="0" t="n">
        <v>79.52</v>
      </c>
      <c r="O9" s="0" t="n">
        <v>34.7</v>
      </c>
      <c r="P9" s="0" t="n">
        <v>120.0</v>
      </c>
      <c r="Q9" s="0" t="n">
        <v>28.0</v>
      </c>
      <c r="R9" s="0" t="n">
        <v>38.0</v>
      </c>
      <c r="S9" s="0" t="n">
        <v>54.0</v>
      </c>
      <c r="T9" s="0" t="n">
        <v>69.0</v>
      </c>
      <c r="U9" s="0" t="n">
        <v>31.0</v>
      </c>
      <c r="V9" s="0" t="n">
        <v>26.0</v>
      </c>
      <c r="W9" s="0" t="n">
        <v>12.0</v>
      </c>
      <c r="X9" s="0" t="n">
        <v>140.0</v>
      </c>
      <c r="Y9" s="0" t="n">
        <v>62.0</v>
      </c>
      <c r="Z9" s="0" t="n">
        <v>44.29</v>
      </c>
      <c r="AA9" s="0" t="n">
        <v>5.0</v>
      </c>
      <c r="AB9" s="0" t="n">
        <v>1.0</v>
      </c>
      <c r="AC9" s="0" t="n">
        <v>20.0</v>
      </c>
      <c r="AD9" s="0" t="n">
        <v>16</v>
      </c>
      <c r="AE9" s="0" t="n">
        <v>5</v>
      </c>
      <c r="AF9" s="0" t="n">
        <v>31.25</v>
      </c>
      <c r="AG9" s="0" t="n">
        <v>0</v>
      </c>
      <c r="AH9" s="0" t="n">
        <v>0</v>
      </c>
      <c r="AI9" s="0" t="n">
        <v>0</v>
      </c>
      <c r="AJ9" s="0" t="n">
        <v>23</v>
      </c>
      <c r="AK9" s="0" t="n">
        <v>2</v>
      </c>
      <c r="AL9" s="0" t="n">
        <v>8.7</v>
      </c>
      <c r="AM9" s="0" t="n">
        <v>5.0</v>
      </c>
      <c r="AN9" s="0" t="n">
        <v>1.0</v>
      </c>
      <c r="AO9" s="0" t="n">
        <v>20.0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4.0</v>
      </c>
      <c r="AW9" s="0" t="n">
        <v>2.0</v>
      </c>
      <c r="AX9" s="0" t="n">
        <v>50.0</v>
      </c>
      <c r="AY9" s="0" t="n">
        <v>2.0</v>
      </c>
      <c r="AZ9" s="0" t="n">
        <v>2.0</v>
      </c>
      <c r="BA9" s="0" t="n">
        <v>10.0</v>
      </c>
      <c r="BB9" s="0" t="n">
        <v>1.0</v>
      </c>
      <c r="BC9" s="0" t="n">
        <v>2.0</v>
      </c>
      <c r="BD9" s="0" t="n">
        <v>6.0</v>
      </c>
      <c r="BE9" s="0" t="n">
        <v>28.0</v>
      </c>
      <c r="BF9" s="0" t="n">
        <v>13.0</v>
      </c>
      <c r="BG9" s="0" t="n">
        <v>46.43</v>
      </c>
      <c r="BH9" s="0" t="n">
        <v>0.0</v>
      </c>
      <c r="BI9" s="0" t="n">
        <v>0.0</v>
      </c>
      <c r="BJ9" s="0" t="n">
        <v>19.0</v>
      </c>
      <c r="BK9" s="0" t="n">
        <v>2.0</v>
      </c>
      <c r="BL9" s="0" t="n">
        <v>10.53</v>
      </c>
      <c r="BM9" s="0" t="n">
        <v>66.0</v>
      </c>
      <c r="BN9" s="0" t="n">
        <v>28.0</v>
      </c>
      <c r="BO9" s="0" t="n">
        <v>42.42</v>
      </c>
      <c r="BP9" s="0" t="n">
        <v>35.0</v>
      </c>
      <c r="BQ9" s="0" t="n">
        <v>16.0</v>
      </c>
      <c r="BR9" s="0" t="n">
        <v>45.71</v>
      </c>
      <c r="BS9" s="0" t="n">
        <v>1.0</v>
      </c>
      <c r="BT9" s="0" t="n">
        <v>1.0</v>
      </c>
      <c r="BU9" s="0" t="n">
        <v>100.0</v>
      </c>
      <c r="BV9" s="0" t="n">
        <v>56.0</v>
      </c>
      <c r="BW9" s="0" t="n">
        <v>41.0</v>
      </c>
      <c r="BX9" s="0" t="n">
        <v>21.0</v>
      </c>
      <c r="BY9" s="0" t="n">
        <v>4.0</v>
      </c>
      <c r="BZ9" s="0" t="n">
        <v>1.0</v>
      </c>
      <c r="CA9" s="0" t="n">
        <v>107.0</v>
      </c>
      <c r="CB9" s="0" t="n">
        <v>67.0</v>
      </c>
      <c r="CC9" s="0" t="n">
        <v>62.62</v>
      </c>
      <c r="CD9" s="0" t="n">
        <v>42.0</v>
      </c>
      <c r="CE9" s="0" t="n">
        <v>39.0</v>
      </c>
      <c r="CF9" s="0" t="n">
        <v>92.86</v>
      </c>
      <c r="CG9" s="0" t="n">
        <v>65.0</v>
      </c>
      <c r="CH9" s="0" t="n">
        <v>62.0</v>
      </c>
      <c r="CI9" s="0" t="n">
        <v>95.38</v>
      </c>
      <c r="CJ9" s="0" t="n">
        <v>52.0</v>
      </c>
      <c r="CK9" s="0" t="n">
        <v>26.0</v>
      </c>
      <c r="CL9" s="0" t="n">
        <v>50.0</v>
      </c>
      <c r="CM9" s="0" t="n">
        <v>38.0</v>
      </c>
      <c r="CN9" s="0" t="n">
        <v>20.0</v>
      </c>
      <c r="CO9" s="0" t="n">
        <v>52.63</v>
      </c>
      <c r="CP9" s="0" t="n">
        <v>53.0</v>
      </c>
      <c r="CQ9" s="0" t="n">
        <v>34.0</v>
      </c>
      <c r="CR9" s="0" t="n">
        <v>64.15</v>
      </c>
      <c r="CS9" s="0" t="n">
        <v>0.0</v>
      </c>
      <c r="CT9" s="0" t="n">
        <v>0.0</v>
      </c>
      <c r="CU9" s="0" t="n">
        <v>0</v>
      </c>
      <c r="CV9" s="0" t="n">
        <v>13.0</v>
      </c>
      <c r="CW9" s="0" t="n">
        <v>11.0</v>
      </c>
      <c r="CX9" s="0" t="n">
        <v>84.62</v>
      </c>
      <c r="CY9" s="0" t="n">
        <v>13.0</v>
      </c>
      <c r="CZ9" s="0" t="n">
        <v>14.8</v>
      </c>
      <c r="DA9" s="0" t="n">
        <v>2.83</v>
      </c>
      <c r="DB9" s="0" t="n">
        <v>20.88</v>
      </c>
      <c r="DC9" s="0" t="n">
        <v>20.71</v>
      </c>
      <c r="DD9" s="0" t="n">
        <v>21.58</v>
      </c>
      <c r="DE9" s="0" t="n">
        <v>11.1</v>
      </c>
    </row>
  </sheetData>
  <sheetCalcPr fullCalcOnLoad="true"/>
  <mergeCells count="3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2026-09-14T04:46:13Z</dcterms:created>
  <cp:revision>0</cp:revision>
</cp:coreProperties>
</file>