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?><Relationships xmlns="http://schemas.openxmlformats.org/package/2006/relationships"><Relationship Target="xl/workbook.xml" Type="http://schemas.openxmlformats.org/officeDocument/2006/relationships/officeDocument" Id="rId1"/><Relationship Target="docProps/core.xml" Type="http://schemas.openxmlformats.org/officeDocument/2006/relationships/metadata/core-properties" Id="rId2"/><Relationship Target="docProps/app.xml" Type="http://schemas.openxmlformats.org/officeDocument/2006/relationships/extended-properties" Id="rId3"/></Relationships>

</file>

<file path=xl/workbook.xml><?xml version="1.0" encoding="utf-8"?>
<workbook xmlns="http://schemas.openxmlformats.org/spreadsheetml/2006/main" xmlns:r="http://schemas.openxmlformats.org/officeDocument/2006/relationships">
  <workbookPr date1904="false"/>
  <sheets>
    <sheet name="TeamStats" sheetId="1" r:id="rId4"/>
  </sheets>
</workbook>
</file>

<file path=xl/styles.xml><?xml version="1.0" encoding="utf-8"?>
<styleSheet xmlns="http://schemas.openxmlformats.org/spreadsheetml/2006/main">
  <numFmts count="3">
    <numFmt numFmtId="100" formatCode="yyyy/mm/dd"/>
    <numFmt numFmtId="101" formatCode="yyyy/mm/dd hh:mm:ss"/>
    <numFmt numFmtId="102" formatCode="0.00"/>
  </numFmts>
  <fonts count="1">
    <font>
      <name val="Arial"/>
      <sz val="11"/>
      <family val="1"/>
    </font>
  </fonts>
  <fills count="2">
    <fill>
      <patternFill patternType="none"/>
    </fill>
    <fill>
      <patternFill patternType="gray125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numFmtId="0" fontId="0" fillId="0"/>
  </cellStyleXfs>
  <cellXfs count="4">
    <xf borderId="0" numFmtId="0" fontId="0" fillId="0" xfId="0"/>
    <xf borderId="1" numFmtId="0" fontId="0" fillId="0" xfId="0"/>
    <xf borderId="0" numFmtId="14" fontId="0" fillId="0" xfId="0" applyNumberFormat="1"/>
    <xf borderId="0" numFmtId="102" fontId="0" fillId="0" applyNumberFormat="true" applyFill="false" applyFont="false" applyBorder="false" applyAlignment="false" applyProtection="false"/>
  </cellXfs>
  <cellStyles count="1">
    <cellStyle name="Normal" xfId="0"/>
  </cellStyles>
  <dxfs count="0"/>
  <tableStyles defaultTableStyle="TableStyleMedium9" defaultPivotStyle="PivotStyleLight16" count="0"/>
</styleSheet>
</file>

<file path=xl/_rels/workbook.xml.rels><?xml version="1.0" encoding="UTF-8"?><Relationships xmlns="http://schemas.openxmlformats.org/package/2006/relationships"><Relationship Target="worksheets/sheet1.xml" Type="http://schemas.openxmlformats.org/officeDocument/2006/relationships/worksheet" Id="rId4"/><Relationship Target="styles.xml" Type="http://schemas.openxmlformats.org/officeDocument/2006/relationships/styles" Id="rId5"/></Relationships>

</file>

<file path=xl/worksheets/_rels/sheet1.xml.rels><?xml version="1.0" encoding="UTF-8"?><Relationships xmlns="http://schemas.openxmlformats.org/package/2006/relationships"></Relationships>

</file>

<file path=xl/worksheets/sheet1.xml><?xml version="1.0" encoding="utf-8"?>
<worksheet xmlns="http://schemas.openxmlformats.org/spreadsheetml/2006/main" xmlns:r="http://schemas.openxmlformats.org/officeDocument/2006/relationships" xml:space="preserve">
  <sheetPr>
    <pageSetUpPr fitToPage="false"/>
  </sheetPr>
  <dimension ref="A1:DE7"/>
  <sheetViews>
    <sheetView windowProtection="false" tabSelected="false" showWhiteSpace="false" showOutlineSymbols="false" showFormulas="false" rightToLeft="false" showZeros="true" showRuler="true" showRowColHeaders="true" showGridLines="true" defaultGridColor="true" zoomScale="100" workbookViewId="0" zoomScaleSheetLayoutView="0" zoomScalePageLayoutView="0" zoomScaleNormal="0"/>
  </sheetViews>
  <sheetFormatPr baseColWidth="8" defaultRowHeight="18"/>
  <cols>
    <col min="1" max="1" bestFit="true" customWidth="true" width="11.88988764044944"/>
    <col min="2" max="2" bestFit="true" customWidth="true" width="21.789887640449443"/>
    <col min="3" max="3" bestFit="true" customWidth="true" width="19.58988764044944"/>
    <col min="4" max="4" bestFit="true" customWidth="true" width="7.489887640449439"/>
    <col min="5" max="5" bestFit="true" customWidth="true" width="14.08988764044944"/>
    <col min="6" max="6" bestFit="true" customWidth="true" width="15.18988764044944"/>
    <col min="7" max="7" bestFit="true" customWidth="true" width="6.389887640449439"/>
    <col min="8" max="8" bestFit="true" customWidth="true" width="6.389887640449439"/>
    <col min="9" max="9" bestFit="true" customWidth="true" width="16.28988764044944"/>
    <col min="10" max="10" bestFit="true" customWidth="true" width="5.289887640449439"/>
    <col min="11" max="11" bestFit="true" customWidth="true" width="7.489887640449439"/>
    <col min="12" max="12" bestFit="true" customWidth="true" width="12.989887640449439"/>
    <col min="13" max="13" bestFit="true" customWidth="true" width="7.489887640449439"/>
    <col min="14" max="14" bestFit="true" customWidth="true" width="7.489887640449439"/>
    <col min="15" max="15" bestFit="true" customWidth="true" width="19.58988764044944"/>
    <col min="16" max="16" bestFit="true" customWidth="true" width="31.68988764044944"/>
    <col min="17" max="17" bestFit="true" customWidth="true" width="6.389887640449439"/>
    <col min="18" max="18" bestFit="true" customWidth="true" width="6.389887640449439"/>
    <col min="19" max="19" bestFit="true" customWidth="true" width="6.389887640449439"/>
    <col min="20" max="20" bestFit="true" customWidth="true" width="31.68988764044944"/>
    <col min="21" max="21" bestFit="true" customWidth="true" width="6.389887640449439"/>
    <col min="22" max="22" bestFit="true" customWidth="true" width="6.389887640449439"/>
    <col min="23" max="23" bestFit="true" customWidth="true" width="6.389887640449439"/>
    <col min="24" max="24" bestFit="true" customWidth="true" width="15.18988764044944"/>
    <col min="25" max="25" bestFit="true" customWidth="true" width="6.389887640449439"/>
    <col min="26" max="26" bestFit="true" customWidth="true" width="7.489887640449439"/>
    <col min="27" max="27" bestFit="true" customWidth="true" width="28.389887640449437"/>
    <col min="28" max="28" bestFit="true" customWidth="true" width="5.289887640449439"/>
    <col min="29" max="29" bestFit="true" customWidth="true" width="7.489887640449439"/>
    <col min="30" max="30" bestFit="true" customWidth="true" width="23.98988764044944"/>
    <col min="31" max="31" bestFit="true" customWidth="true" width="4.189887640449439"/>
    <col min="32" max="32" bestFit="true" customWidth="true" width="7.489887640449439"/>
    <col min="33" max="33" bestFit="true" customWidth="true" width="19.58988764044944"/>
    <col min="34" max="34" bestFit="true" customWidth="true" width="4.189887640449439"/>
    <col min="35" max="35" bestFit="true" customWidth="true" width="5.289887640449439"/>
    <col min="36" max="36" bestFit="true" customWidth="true" width="26.18988764044944"/>
    <col min="37" max="37" bestFit="true" customWidth="true" width="4.189887640449439"/>
    <col min="38" max="38" bestFit="true" customWidth="true" width="7.489887640449439"/>
    <col min="39" max="39" bestFit="true" customWidth="true" width="18.48988764044944"/>
    <col min="40" max="40" bestFit="true" customWidth="true" width="5.289887640449439"/>
    <col min="41" max="41" bestFit="true" customWidth="true" width="7.489887640449439"/>
    <col min="42" max="42" bestFit="true" customWidth="true" width="18.48988764044944"/>
    <col min="43" max="43" bestFit="true" customWidth="true" width="5.289887640449439"/>
    <col min="44" max="44" bestFit="true" customWidth="true" width="7.489887640449439"/>
    <col min="45" max="45" bestFit="true" customWidth="true" width="12.989887640449439"/>
    <col min="46" max="46" bestFit="true" customWidth="true" width="5.289887640449439"/>
    <col min="47" max="47" bestFit="true" customWidth="true" width="4.189887640449439"/>
    <col min="48" max="48" bestFit="true" customWidth="true" width="14.08988764044944"/>
    <col min="49" max="49" bestFit="true" customWidth="true" width="5.289887640449439"/>
    <col min="50" max="50" bestFit="true" customWidth="true" width="7.489887640449439"/>
    <col min="51" max="51" bestFit="true" customWidth="true" width="29.489887640449442"/>
    <col min="52" max="52" bestFit="true" customWidth="true" width="25.08988764044944"/>
    <col min="53" max="53" bestFit="true" customWidth="true" width="30.58988764044944"/>
    <col min="54" max="54" bestFit="true" customWidth="true" width="5.289887640449439"/>
    <col min="55" max="55" bestFit="true" customWidth="true" width="6.389887640449439"/>
    <col min="56" max="56" bestFit="true" customWidth="true" width="25.08988764044944"/>
    <col min="57" max="57" bestFit="true" customWidth="true" width="21.789887640449443"/>
    <col min="58" max="58" bestFit="true" customWidth="true" width="6.389887640449439"/>
    <col min="59" max="59" bestFit="true" customWidth="true" width="7.489887640449439"/>
    <col min="60" max="60" bestFit="true" customWidth="true" width="14.08988764044944"/>
    <col min="61" max="61" bestFit="true" customWidth="true" width="11.88988764044944"/>
    <col min="62" max="62" bestFit="true" customWidth="true" width="21.789887640449443"/>
    <col min="63" max="63" bestFit="true" customWidth="true" width="5.289887640449439"/>
    <col min="64" max="64" bestFit="true" customWidth="true" width="7.489887640449439"/>
    <col min="65" max="65" bestFit="true" customWidth="true" width="22.88988764044944"/>
    <col min="66" max="66" bestFit="true" customWidth="true" width="6.389887640449439"/>
    <col min="67" max="67" bestFit="true" customWidth="true" width="7.489887640449439"/>
    <col min="68" max="68" bestFit="true" customWidth="true" width="19.58988764044944"/>
    <col min="69" max="69" bestFit="true" customWidth="true" width="6.389887640449439"/>
    <col min="70" max="70" bestFit="true" customWidth="true" width="7.489887640449439"/>
    <col min="71" max="71" bestFit="true" customWidth="true" width="22.88988764044944"/>
    <col min="72" max="72" bestFit="true" customWidth="true" width="5.289887640449439"/>
    <col min="73" max="73" bestFit="true" customWidth="true" width="7.489887640449439"/>
    <col min="74" max="74" bestFit="true" customWidth="true" width="10.78988764044944"/>
    <col min="75" max="75" bestFit="true" customWidth="true" width="8.589887640449438"/>
    <col min="76" max="76" bestFit="true" customWidth="true" width="6.389887640449439"/>
    <col min="77" max="77" bestFit="true" customWidth="true" width="7.489887640449439"/>
    <col min="78" max="78" bestFit="true" customWidth="true" width="7.489887640449439"/>
    <col min="79" max="79" bestFit="true" customWidth="true" width="20.68988764044944"/>
    <col min="80" max="80" bestFit="true" customWidth="true" width="7.489887640449439"/>
    <col min="81" max="81" bestFit="true" customWidth="true" width="7.489887640449439"/>
    <col min="82" max="82" bestFit="true" customWidth="true" width="17.38988764044944"/>
    <col min="83" max="83" bestFit="true" customWidth="true" width="6.389887640449439"/>
    <col min="84" max="84" bestFit="true" customWidth="true" width="7.489887640449439"/>
    <col min="85" max="85" bestFit="true" customWidth="true" width="16.28988764044944"/>
    <col min="86" max="86" bestFit="true" customWidth="true" width="7.489887640449439"/>
    <col min="87" max="87" bestFit="true" customWidth="true" width="7.489887640449439"/>
    <col min="88" max="88" bestFit="true" customWidth="true" width="16.28988764044944"/>
    <col min="89" max="89" bestFit="true" customWidth="true" width="6.389887640449439"/>
    <col min="90" max="90" bestFit="true" customWidth="true" width="7.489887640449439"/>
    <col min="91" max="91" bestFit="true" customWidth="true" width="26.18988764044944"/>
    <col min="92" max="92" bestFit="true" customWidth="true" width="6.389887640449439"/>
    <col min="93" max="93" bestFit="true" customWidth="true" width="7.489887640449439"/>
    <col min="94" max="94" bestFit="true" customWidth="true" width="19.58988764044944"/>
    <col min="95" max="95" bestFit="true" customWidth="true" width="6.389887640449439"/>
    <col min="96" max="96" bestFit="true" customWidth="true" width="7.489887640449439"/>
    <col min="97" max="97" bestFit="true" customWidth="true" width="17.38988764044944"/>
    <col min="98" max="98" bestFit="true" customWidth="true" width="5.289887640449439"/>
    <col min="99" max="99" bestFit="true" customWidth="true" width="7.489887640449439"/>
    <col min="100" max="100" bestFit="true" customWidth="true" width="18.48988764044944"/>
    <col min="101" max="101" bestFit="true" customWidth="true" width="6.389887640449439"/>
    <col min="102" max="102" bestFit="true" customWidth="true" width="7.489887640449439"/>
    <col min="103" max="103" bestFit="true" customWidth="true" width="14.08988764044944"/>
    <col min="104" max="104" bestFit="true" customWidth="true" width="15.18988764044944"/>
    <col min="105" max="105" bestFit="true" customWidth="true" width="30.58988764044944"/>
    <col min="106" max="106" bestFit="true" customWidth="true" width="14.08988764044944"/>
    <col min="107" max="107" bestFit="true" customWidth="true" width="15.18988764044944"/>
    <col min="108" max="108" bestFit="true" customWidth="true" width="16.28988764044944"/>
    <col min="109" max="109" bestFit="true" customWidth="true" width="7.489887640449439"/>
  </cols>
  <sheetData>
    <row ht="56" customHeight="true" r="1">
      <c r="A1" s="0" t="inlineStr">
        <is>
          <t>Fecha</t>
        </is>
      </c>
      <c r="B1" s="0" t="inlineStr">
        <is>
          <t>Partido</t>
        </is>
      </c>
      <c r="C1" s="0" t="inlineStr">
        <is>
          <t>Competición</t>
        </is>
      </c>
      <c r="D1" s="0" t="inlineStr">
        <is>
          <t>Duración</t>
        </is>
      </c>
      <c r="E1" s="0" t="inlineStr">
        <is>
          <t>Equipo</t>
        </is>
      </c>
      <c r="F1" s="0" t="inlineStr">
        <is>
          <t>Seleccionar esquema</t>
        </is>
      </c>
      <c r="G1" s="0" t="inlineStr">
        <is>
          <t>Goles</t>
        </is>
      </c>
      <c r="H1" s="0" t="inlineStr">
        <is>
          <t>xG</t>
        </is>
      </c>
      <c r="I1" s="0" t="inlineStr">
        <is>
          <t>Tiros / a la portería </t>
        </is>
      </c>
      <c r="J1" s="0" t="inlineStr">
        <is>
          <t/>
        </is>
      </c>
      <c r="K1" s="0" t="inlineStr">
        <is>
          <t/>
        </is>
      </c>
      <c r="L1" s="0" t="inlineStr">
        <is>
          <t>Pases / logrados</t>
        </is>
      </c>
      <c r="M1" s="0" t="inlineStr">
        <is>
          <t/>
        </is>
      </c>
      <c r="N1" s="0" t="inlineStr">
        <is>
          <t/>
        </is>
      </c>
      <c r="O1" s="0" t="inlineStr">
        <is>
          <t>Posesión del balón, %</t>
        </is>
      </c>
      <c r="P1" s="0" t="inlineStr">
        <is>
          <t>Balones perdidos / bajos / medios / altos</t>
        </is>
      </c>
      <c r="Q1" s="0" t="inlineStr">
        <is>
          <t/>
        </is>
      </c>
      <c r="R1" s="0" t="inlineStr">
        <is>
          <t/>
        </is>
      </c>
      <c r="S1" s="0" t="inlineStr">
        <is>
          <t/>
        </is>
      </c>
      <c r="T1" s="0" t="inlineStr">
        <is>
          <t>Balones recuperados /bajos / medios / altos</t>
        </is>
      </c>
      <c r="U1" s="0" t="inlineStr">
        <is>
          <t/>
        </is>
      </c>
      <c r="V1" s="0" t="inlineStr">
        <is>
          <t/>
        </is>
      </c>
      <c r="W1" s="0" t="inlineStr">
        <is>
          <t/>
        </is>
      </c>
      <c r="X1" s="0" t="inlineStr">
        <is>
          <t>Duelos / ganados</t>
        </is>
      </c>
      <c r="Y1" s="0" t="inlineStr">
        <is>
          <t/>
        </is>
      </c>
      <c r="Z1" s="0" t="inlineStr">
        <is>
          <t/>
        </is>
      </c>
      <c r="AA1" s="0" t="inlineStr">
        <is>
          <t>Tiros de fuera del área / a la portería</t>
        </is>
      </c>
      <c r="AB1" s="0" t="inlineStr">
        <is>
          <t/>
        </is>
      </c>
      <c r="AC1" s="0" t="inlineStr">
        <is>
          <t/>
        </is>
      </c>
      <c r="AD1" s="0" t="inlineStr">
        <is>
          <t>Ataques posicionales / con remate</t>
        </is>
      </c>
      <c r="AE1" s="0" t="inlineStr">
        <is>
          <t/>
        </is>
      </c>
      <c r="AF1" s="0" t="inlineStr">
        <is>
          <t/>
        </is>
      </c>
      <c r="AG1" s="0" t="inlineStr">
        <is>
          <t>Contraataques / con remate</t>
        </is>
      </c>
      <c r="AH1" s="0" t="inlineStr">
        <is>
          <t/>
        </is>
      </c>
      <c r="AI1" s="0" t="inlineStr">
        <is>
          <t/>
        </is>
      </c>
      <c r="AJ1" s="0" t="inlineStr">
        <is>
          <t>Jugadas a balón parado / con remate</t>
        </is>
      </c>
      <c r="AK1" s="0" t="inlineStr">
        <is>
          <t/>
        </is>
      </c>
      <c r="AL1" s="0" t="inlineStr">
        <is>
          <t/>
        </is>
      </c>
      <c r="AM1" s="0" t="inlineStr">
        <is>
          <t>Córneres / con remate</t>
        </is>
      </c>
      <c r="AN1" s="0" t="inlineStr">
        <is>
          <t/>
        </is>
      </c>
      <c r="AO1" s="0" t="inlineStr">
        <is>
          <t/>
        </is>
      </c>
      <c r="AP1" s="0" t="inlineStr">
        <is>
          <t>Tiros libres / con remate</t>
        </is>
      </c>
      <c r="AQ1" s="0" t="inlineStr">
        <is>
          <t/>
        </is>
      </c>
      <c r="AR1" s="0" t="inlineStr">
        <is>
          <t/>
        </is>
      </c>
      <c r="AS1" s="0" t="inlineStr">
        <is>
          <t>Penaltis / marcados</t>
        </is>
      </c>
      <c r="AT1" s="0" t="inlineStr">
        <is>
          <t/>
        </is>
      </c>
      <c r="AU1" s="0" t="inlineStr">
        <is>
          <t/>
        </is>
      </c>
      <c r="AV1" s="0" t="inlineStr">
        <is>
          <t>Centros / precisos</t>
        </is>
      </c>
      <c r="AW1" s="0" t="inlineStr">
        <is>
          <t/>
        </is>
      </c>
      <c r="AX1" s="0" t="inlineStr">
        <is>
          <t/>
        </is>
      </c>
      <c r="AY1" s="0" t="inlineStr">
        <is>
          <t>Pases cruzados en profundidad completados</t>
        </is>
      </c>
      <c r="AZ1" s="0" t="inlineStr">
        <is>
          <t>Pases en profundidad completados</t>
        </is>
      </c>
      <c r="BA1" s="0" t="inlineStr">
        <is>
          <t>Entradas al área de penalti (carreras / pases cruzados)</t>
        </is>
      </c>
      <c r="BB1" s="0" t="inlineStr">
        <is>
          <t/>
        </is>
      </c>
      <c r="BC1" s="0" t="inlineStr">
        <is>
          <t/>
        </is>
      </c>
      <c r="BD1" s="0" t="inlineStr">
        <is>
          <t>Toques en el área de penalti</t>
        </is>
      </c>
      <c r="BE1" s="0" t="inlineStr">
        <is>
          <t>Duelos ofensivos / ganados</t>
        </is>
      </c>
      <c r="BF1" s="0" t="inlineStr">
        <is>
          <t/>
        </is>
      </c>
      <c r="BG1" s="0" t="inlineStr">
        <is>
          <t/>
        </is>
      </c>
      <c r="BH1" s="0" t="inlineStr">
        <is>
          <t>Fuera de juego</t>
        </is>
      </c>
      <c r="BI1" s="0" t="inlineStr">
        <is>
          <t>Goles recibidos</t>
        </is>
      </c>
      <c r="BJ1" s="0" t="inlineStr">
        <is>
          <t>Tiros en contra / a la portería</t>
        </is>
      </c>
      <c r="BK1" s="0" t="inlineStr">
        <is>
          <t/>
        </is>
      </c>
      <c r="BL1" s="0" t="inlineStr">
        <is>
          <t/>
        </is>
      </c>
      <c r="BM1" s="0" t="inlineStr">
        <is>
          <t>Duelos defensivos / ganados</t>
        </is>
      </c>
      <c r="BN1" s="0" t="inlineStr">
        <is>
          <t/>
        </is>
      </c>
      <c r="BO1" s="0" t="inlineStr">
        <is>
          <t/>
        </is>
      </c>
      <c r="BP1" s="0" t="inlineStr">
        <is>
          <t>Duelos aéreos / ganados</t>
        </is>
      </c>
      <c r="BQ1" s="0" t="inlineStr">
        <is>
          <t/>
        </is>
      </c>
      <c r="BR1" s="0" t="inlineStr">
        <is>
          <t/>
        </is>
      </c>
      <c r="BS1" s="0" t="inlineStr">
        <is>
          <t>Entradas a ras de suelo / logradas</t>
        </is>
      </c>
      <c r="BT1" s="0" t="inlineStr">
        <is>
          <t/>
        </is>
      </c>
      <c r="BU1" s="0" t="inlineStr">
        <is>
          <t/>
        </is>
      </c>
      <c r="BV1" s="0" t="inlineStr">
        <is>
          <t>Interceptaciones</t>
        </is>
      </c>
      <c r="BW1" s="0" t="inlineStr">
        <is>
          <t>Despejes</t>
        </is>
      </c>
      <c r="BX1" s="0" t="inlineStr">
        <is>
          <t>Faltas</t>
        </is>
      </c>
      <c r="BY1" s="0" t="inlineStr">
        <is>
          <t>Tarjetas amarillas</t>
        </is>
      </c>
      <c r="BZ1" s="0" t="inlineStr">
        <is>
          <t>Tarjetas rojas</t>
        </is>
      </c>
      <c r="CA1" s="0" t="inlineStr">
        <is>
          <t>Pases hacia adelante / logrados</t>
        </is>
      </c>
      <c r="CB1" s="0" t="inlineStr">
        <is>
          <t/>
        </is>
      </c>
      <c r="CC1" s="0" t="inlineStr">
        <is>
          <t/>
        </is>
      </c>
      <c r="CD1" s="0" t="inlineStr">
        <is>
          <t>Pases hacia atrás / logrados</t>
        </is>
      </c>
      <c r="CE1" s="0" t="inlineStr">
        <is>
          <t/>
        </is>
      </c>
      <c r="CF1" s="0" t="inlineStr">
        <is>
          <t/>
        </is>
      </c>
      <c r="CG1" s="0" t="inlineStr">
        <is>
          <t>Pases laterales / logrados</t>
        </is>
      </c>
      <c r="CH1" s="0" t="inlineStr">
        <is>
          <t/>
        </is>
      </c>
      <c r="CI1" s="0" t="inlineStr">
        <is>
          <t/>
        </is>
      </c>
      <c r="CJ1" s="0" t="inlineStr">
        <is>
          <t>Pases largos / logrados</t>
        </is>
      </c>
      <c r="CK1" s="0" t="inlineStr">
        <is>
          <t/>
        </is>
      </c>
      <c r="CL1" s="0" t="inlineStr">
        <is>
          <t/>
        </is>
      </c>
      <c r="CM1" s="0" t="inlineStr">
        <is>
          <t>Pases en el último tercio / logrados</t>
        </is>
      </c>
      <c r="CN1" s="0" t="inlineStr">
        <is>
          <t/>
        </is>
      </c>
      <c r="CO1" s="0" t="inlineStr">
        <is>
          <t/>
        </is>
      </c>
      <c r="CP1" s="0" t="inlineStr">
        <is>
          <t>Pases progresivos / precisos</t>
        </is>
      </c>
      <c r="CQ1" s="0" t="inlineStr">
        <is>
          <t/>
        </is>
      </c>
      <c r="CR1" s="0" t="inlineStr">
        <is>
          <t/>
        </is>
      </c>
      <c r="CS1" s="0" t="inlineStr">
        <is>
          <t>Desmarques / logrados</t>
        </is>
      </c>
      <c r="CT1" s="0" t="inlineStr">
        <is>
          <t/>
        </is>
      </c>
      <c r="CU1" s="0" t="inlineStr">
        <is>
          <t/>
        </is>
      </c>
      <c r="CV1" s="0" t="inlineStr">
        <is>
          <t>Saques laterales / logrados</t>
        </is>
      </c>
      <c r="CW1" s="0" t="inlineStr">
        <is>
          <t/>
        </is>
      </c>
      <c r="CX1" s="0" t="inlineStr">
        <is>
          <t/>
        </is>
      </c>
      <c r="CY1" s="0" t="inlineStr">
        <is>
          <t>Saques de meta</t>
        </is>
      </c>
      <c r="CZ1" s="0" t="inlineStr">
        <is>
          <t>Intensidad de paso</t>
        </is>
      </c>
      <c r="DA1" s="0" t="inlineStr">
        <is>
          <t>Promedio pases por posesión del balón</t>
        </is>
      </c>
      <c r="DB1" s="0" t="inlineStr">
        <is>
          <t>Lanzamiento largo %</t>
        </is>
      </c>
      <c r="DC1" s="0" t="inlineStr">
        <is>
          <t>Distancia media de tiro</t>
        </is>
      </c>
      <c r="DD1" s="0" t="inlineStr">
        <is>
          <t>Longitud media pases</t>
        </is>
      </c>
      <c r="DE1" s="0" t="inlineStr">
        <is>
          <t>PPDA</t>
        </is>
      </c>
    </row>
    <row r="2">
      <c r="A2" s="3" t="inlineStr">
        <is>
          <t>Ibiza</t>
        </is>
      </c>
      <c r="B2" s="3"/>
      <c r="C2" s="3"/>
      <c r="D2" s="3"/>
      <c r="E2" s="3"/>
      <c r="F2" s="3"/>
      <c r="G2" s="3" t="str">
        <f>AVERAGE(G4,G6)</f>
      </c>
      <c r="H2" s="3" t="str">
        <f>AVERAGE(H4,H6)</f>
      </c>
      <c r="I2" s="3" t="str">
        <f>AVERAGE(I4,I6)</f>
      </c>
      <c r="J2" s="3" t="str">
        <f>AVERAGE(J4,J6)</f>
      </c>
      <c r="K2" s="3" t="str">
        <f>IFERROR(SUM(J4,J6)/SUM(I4,I6)*100,0)</f>
      </c>
      <c r="L2" s="3" t="str">
        <f>AVERAGE(L4,L6)</f>
      </c>
      <c r="M2" s="3" t="str">
        <f>AVERAGE(M4,M6)</f>
      </c>
      <c r="N2" s="3" t="str">
        <f>IFERROR(SUM(M4,M6)/SUM(L4,L6)*100,0)</f>
      </c>
      <c r="O2" s="3" t="str">
        <f>AVERAGE(O4,O6)</f>
      </c>
      <c r="P2" s="3" t="str">
        <f>AVERAGE(P4,P6)</f>
      </c>
      <c r="Q2" s="3" t="str">
        <f>AVERAGE(Q4,Q6)</f>
      </c>
      <c r="R2" s="3" t="str">
        <f>AVERAGE(R4,R6)</f>
      </c>
      <c r="S2" s="3" t="str">
        <f>AVERAGE(S4,S6)</f>
      </c>
      <c r="T2" s="3" t="str">
        <f>AVERAGE(T4,T6)</f>
      </c>
      <c r="U2" s="3" t="str">
        <f>AVERAGE(U4,U6)</f>
      </c>
      <c r="V2" s="3" t="str">
        <f>AVERAGE(V4,V6)</f>
      </c>
      <c r="W2" s="3" t="str">
        <f>AVERAGE(W4,W6)</f>
      </c>
      <c r="X2" s="3" t="str">
        <f>AVERAGE(X4,X6)</f>
      </c>
      <c r="Y2" s="3" t="str">
        <f>AVERAGE(Y4,Y6)</f>
      </c>
      <c r="Z2" s="3" t="str">
        <f>IFERROR(SUM(Y4,Y6)/SUM(X4,X6)*100,0)</f>
      </c>
      <c r="AA2" s="3" t="str">
        <f>AVERAGE(AA4,AA6)</f>
      </c>
      <c r="AB2" s="3" t="str">
        <f>AVERAGE(AB4,AB6)</f>
      </c>
      <c r="AC2" s="3" t="str">
        <f>IFERROR(SUM(AB4,AB6)/SUM(AA4,AA6)*100,0)</f>
      </c>
      <c r="AD2" s="3" t="str">
        <f>AVERAGE(AD4,AD6)</f>
      </c>
      <c r="AE2" s="3" t="str">
        <f>AVERAGE(AE4,AE6)</f>
      </c>
      <c r="AF2" s="3" t="str">
        <f>IFERROR(SUM(AE4,AE6)/SUM(AD4,AD6)*100,0)</f>
      </c>
      <c r="AG2" s="3" t="str">
        <f>AVERAGE(AG4,AG6)</f>
      </c>
      <c r="AH2" s="3" t="str">
        <f>AVERAGE(AH4,AH6)</f>
      </c>
      <c r="AI2" s="3" t="str">
        <f>IFERROR(SUM(AH4,AH6)/SUM(AG4,AG6)*100,0)</f>
      </c>
      <c r="AJ2" s="3" t="str">
        <f>AVERAGE(AJ4,AJ6)</f>
      </c>
      <c r="AK2" s="3" t="str">
        <f>AVERAGE(AK4,AK6)</f>
      </c>
      <c r="AL2" s="3" t="str">
        <f>IFERROR(SUM(AK4,AK6)/SUM(AJ4,AJ6)*100,0)</f>
      </c>
      <c r="AM2" s="3" t="str">
        <f>AVERAGE(AM4,AM6)</f>
      </c>
      <c r="AN2" s="3" t="str">
        <f>AVERAGE(AN4,AN6)</f>
      </c>
      <c r="AO2" s="3" t="str">
        <f>IFERROR(SUM(AN4,AN6)/SUM(AM4,AM6)*100,0)</f>
      </c>
      <c r="AP2" s="3" t="str">
        <f>AVERAGE(AP4,AP6)</f>
      </c>
      <c r="AQ2" s="3" t="str">
        <f>AVERAGE(AQ4,AQ6)</f>
      </c>
      <c r="AR2" s="3" t="str">
        <f>IFERROR(SUM(AQ4,AQ6)/SUM(AP4,AP6)*100,0)</f>
      </c>
      <c r="AS2" s="3" t="str">
        <f>AVERAGE(AS4,AS6)</f>
      </c>
      <c r="AT2" s="3" t="str">
        <f>AVERAGE(AT4,AT6)</f>
      </c>
      <c r="AU2" s="3" t="str">
        <f>IFERROR(SUM(AT4,AT6)/SUM(AS4,AS6)*100,0)</f>
      </c>
      <c r="AV2" s="3" t="str">
        <f>AVERAGE(AV4,AV6)</f>
      </c>
      <c r="AW2" s="3" t="str">
        <f>AVERAGE(AW4,AW6)</f>
      </c>
      <c r="AX2" s="3" t="str">
        <f>IFERROR(SUM(AW4,AW6)/SUM(AV4,AV6)*100,0)</f>
      </c>
      <c r="AY2" s="3" t="str">
        <f>AVERAGE(AY4,AY6)</f>
      </c>
      <c r="AZ2" s="3" t="str">
        <f>AVERAGE(AZ4,AZ6)</f>
      </c>
      <c r="BA2" s="3" t="str">
        <f>AVERAGE(BA4,BA6)</f>
      </c>
      <c r="BB2" s="3" t="str">
        <f>AVERAGE(BB4,BB6)</f>
      </c>
      <c r="BC2" s="3" t="str">
        <f>AVERAGE(BC4,BC6)</f>
      </c>
      <c r="BD2" s="3" t="str">
        <f>AVERAGE(BD4,BD6)</f>
      </c>
      <c r="BE2" s="3" t="str">
        <f>AVERAGE(BE4,BE6)</f>
      </c>
      <c r="BF2" s="3" t="str">
        <f>AVERAGE(BF4,BF6)</f>
      </c>
      <c r="BG2" s="3" t="str">
        <f>IFERROR(SUM(BF4,BF6)/SUM(BE4,BE6)*100,0)</f>
      </c>
      <c r="BH2" s="3" t="str">
        <f>AVERAGE(BH4,BH6)</f>
      </c>
      <c r="BI2" s="3" t="str">
        <f>AVERAGE(BI4,BI6)</f>
      </c>
      <c r="BJ2" s="3" t="str">
        <f>AVERAGE(BJ4,BJ6)</f>
      </c>
      <c r="BK2" s="3" t="str">
        <f>AVERAGE(BK4,BK6)</f>
      </c>
      <c r="BL2" s="3" t="str">
        <f>IFERROR(SUM(BK4,BK6)/SUM(BJ4,BJ6)*100,0)</f>
      </c>
      <c r="BM2" s="3" t="str">
        <f>AVERAGE(BM4,BM6)</f>
      </c>
      <c r="BN2" s="3" t="str">
        <f>AVERAGE(BN4,BN6)</f>
      </c>
      <c r="BO2" s="3" t="str">
        <f>IFERROR(SUM(BN4,BN6)/SUM(BM4,BM6)*100,0)</f>
      </c>
      <c r="BP2" s="3" t="str">
        <f>AVERAGE(BP4,BP6)</f>
      </c>
      <c r="BQ2" s="3" t="str">
        <f>AVERAGE(BQ4,BQ6)</f>
      </c>
      <c r="BR2" s="3" t="str">
        <f>IFERROR(SUM(BQ4,BQ6)/SUM(BP4,BP6)*100,0)</f>
      </c>
      <c r="BS2" s="3" t="str">
        <f>AVERAGE(BS4,BS6)</f>
      </c>
      <c r="BT2" s="3" t="str">
        <f>AVERAGE(BT4,BT6)</f>
      </c>
      <c r="BU2" s="3" t="str">
        <f>IFERROR(SUM(BT4,BT6)/SUM(BS4,BS6)*100,0)</f>
      </c>
      <c r="BV2" s="3" t="str">
        <f>AVERAGE(BV4,BV6)</f>
      </c>
      <c r="BW2" s="3" t="str">
        <f>AVERAGE(BW4,BW6)</f>
      </c>
      <c r="BX2" s="3" t="str">
        <f>AVERAGE(BX4,BX6)</f>
      </c>
      <c r="BY2" s="3" t="str">
        <f>AVERAGE(BY4,BY6)</f>
      </c>
      <c r="BZ2" s="3" t="str">
        <f>AVERAGE(BZ4,BZ6)</f>
      </c>
      <c r="CA2" s="3" t="str">
        <f>AVERAGE(CA4,CA6)</f>
      </c>
      <c r="CB2" s="3" t="str">
        <f>AVERAGE(CB4,CB6)</f>
      </c>
      <c r="CC2" s="3" t="str">
        <f>IFERROR(SUM(CB4,CB6)/SUM(CA4,CA6)*100,0)</f>
      </c>
      <c r="CD2" s="3" t="str">
        <f>AVERAGE(CD4,CD6)</f>
      </c>
      <c r="CE2" s="3" t="str">
        <f>AVERAGE(CE4,CE6)</f>
      </c>
      <c r="CF2" s="3" t="str">
        <f>IFERROR(SUM(CE4,CE6)/SUM(CD4,CD6)*100,0)</f>
      </c>
      <c r="CG2" s="3" t="str">
        <f>AVERAGE(CG4,CG6)</f>
      </c>
      <c r="CH2" s="3" t="str">
        <f>AVERAGE(CH4,CH6)</f>
      </c>
      <c r="CI2" s="3" t="str">
        <f>IFERROR(SUM(CH4,CH6)/SUM(CG4,CG6)*100,0)</f>
      </c>
      <c r="CJ2" s="3" t="str">
        <f>AVERAGE(CJ4,CJ6)</f>
      </c>
      <c r="CK2" s="3" t="str">
        <f>AVERAGE(CK4,CK6)</f>
      </c>
      <c r="CL2" s="3" t="str">
        <f>IFERROR(SUM(CK4,CK6)/SUM(CJ4,CJ6)*100,0)</f>
      </c>
      <c r="CM2" s="3" t="str">
        <f>AVERAGE(CM4,CM6)</f>
      </c>
      <c r="CN2" s="3" t="str">
        <f>AVERAGE(CN4,CN6)</f>
      </c>
      <c r="CO2" s="3" t="str">
        <f>IFERROR(SUM(CN4,CN6)/SUM(CM4,CM6)*100,0)</f>
      </c>
      <c r="CP2" s="3" t="str">
        <f>AVERAGE(CP4,CP6)</f>
      </c>
      <c r="CQ2" s="3" t="str">
        <f>AVERAGE(CQ4,CQ6)</f>
      </c>
      <c r="CR2" s="3" t="str">
        <f>IFERROR(SUM(CQ4,CQ6)/SUM(CP4,CP6)*100,0)</f>
      </c>
      <c r="CS2" s="3" t="str">
        <f>AVERAGE(CS4,CS6)</f>
      </c>
      <c r="CT2" s="3" t="str">
        <f>AVERAGE(CT4,CT6)</f>
      </c>
      <c r="CU2" s="3" t="str">
        <f>IFERROR(SUM(CT4,CT6)/SUM(CS4,CS6)*100,0)</f>
      </c>
      <c r="CV2" s="3" t="str">
        <f>AVERAGE(CV4,CV6)</f>
      </c>
      <c r="CW2" s="3" t="str">
        <f>AVERAGE(CW4,CW6)</f>
      </c>
      <c r="CX2" s="3" t="str">
        <f>IFERROR(SUM(CW4,CW6)/SUM(CV4,CV6)*100,0)</f>
      </c>
      <c r="CY2" s="3" t="str">
        <f>AVERAGE(CY4,CY6)</f>
      </c>
      <c r="CZ2" s="3" t="str">
        <f>AVERAGE(CZ4,CZ6)</f>
      </c>
      <c r="DA2" s="3" t="str">
        <f>AVERAGE(DA4,DA6)</f>
      </c>
      <c r="DB2" s="3" t="str">
        <f>AVERAGE(DB4,DB6)</f>
      </c>
      <c r="DC2" s="3" t="str">
        <f>AVERAGE(DC4,DC6)</f>
      </c>
      <c r="DD2" s="3" t="str">
        <f>AVERAGE(DD4,DD6)</f>
      </c>
      <c r="DE2" s="3" t="str">
        <f>AVERAGE(DE4,DE6)</f>
      </c>
    </row>
    <row r="3">
      <c r="A3" s="3" t="inlineStr">
        <is>
          <t>Adversarios</t>
        </is>
      </c>
      <c r="B3" s="3"/>
      <c r="C3" s="3"/>
      <c r="D3" s="3"/>
      <c r="E3" s="3"/>
      <c r="F3" s="3"/>
      <c r="G3" s="3" t="str">
        <f>AVERAGE(G5,G7)</f>
      </c>
      <c r="H3" s="3" t="str">
        <f>AVERAGE(H5,H7)</f>
      </c>
      <c r="I3" s="3" t="str">
        <f>AVERAGE(I5,I7)</f>
      </c>
      <c r="J3" s="3" t="str">
        <f>AVERAGE(J5,J7)</f>
      </c>
      <c r="K3" s="3" t="str">
        <f>IFERROR(SUM(J5,J7)/SUM(I5,I7)*100,0)</f>
      </c>
      <c r="L3" s="3" t="str">
        <f>AVERAGE(L5,L7)</f>
      </c>
      <c r="M3" s="3" t="str">
        <f>AVERAGE(M5,M7)</f>
      </c>
      <c r="N3" s="3" t="str">
        <f>IFERROR(SUM(M5,M7)/SUM(L5,L7)*100,0)</f>
      </c>
      <c r="O3" s="3" t="str">
        <f>AVERAGE(O5,O7)</f>
      </c>
      <c r="P3" s="3" t="str">
        <f>AVERAGE(P5,P7)</f>
      </c>
      <c r="Q3" s="3" t="str">
        <f>AVERAGE(Q5,Q7)</f>
      </c>
      <c r="R3" s="3" t="str">
        <f>AVERAGE(R5,R7)</f>
      </c>
      <c r="S3" s="3" t="str">
        <f>AVERAGE(S5,S7)</f>
      </c>
      <c r="T3" s="3" t="str">
        <f>AVERAGE(T5,T7)</f>
      </c>
      <c r="U3" s="3" t="str">
        <f>AVERAGE(U5,U7)</f>
      </c>
      <c r="V3" s="3" t="str">
        <f>AVERAGE(V5,V7)</f>
      </c>
      <c r="W3" s="3" t="str">
        <f>AVERAGE(W5,W7)</f>
      </c>
      <c r="X3" s="3" t="str">
        <f>AVERAGE(X5,X7)</f>
      </c>
      <c r="Y3" s="3" t="str">
        <f>AVERAGE(Y5,Y7)</f>
      </c>
      <c r="Z3" s="3" t="str">
        <f>IFERROR(SUM(Y5,Y7)/SUM(X5,X7)*100,0)</f>
      </c>
      <c r="AA3" s="3" t="str">
        <f>AVERAGE(AA5,AA7)</f>
      </c>
      <c r="AB3" s="3" t="str">
        <f>AVERAGE(AB5,AB7)</f>
      </c>
      <c r="AC3" s="3" t="str">
        <f>IFERROR(SUM(AB5,AB7)/SUM(AA5,AA7)*100,0)</f>
      </c>
      <c r="AD3" s="3" t="str">
        <f>AVERAGE(AD5,AD7)</f>
      </c>
      <c r="AE3" s="3" t="str">
        <f>AVERAGE(AE5,AE7)</f>
      </c>
      <c r="AF3" s="3" t="str">
        <f>IFERROR(SUM(AE5,AE7)/SUM(AD5,AD7)*100,0)</f>
      </c>
      <c r="AG3" s="3" t="str">
        <f>AVERAGE(AG5,AG7)</f>
      </c>
      <c r="AH3" s="3" t="str">
        <f>AVERAGE(AH5,AH7)</f>
      </c>
      <c r="AI3" s="3" t="str">
        <f>IFERROR(SUM(AH5,AH7)/SUM(AG5,AG7)*100,0)</f>
      </c>
      <c r="AJ3" s="3" t="str">
        <f>AVERAGE(AJ5,AJ7)</f>
      </c>
      <c r="AK3" s="3" t="str">
        <f>AVERAGE(AK5,AK7)</f>
      </c>
      <c r="AL3" s="3" t="str">
        <f>IFERROR(SUM(AK5,AK7)/SUM(AJ5,AJ7)*100,0)</f>
      </c>
      <c r="AM3" s="3" t="str">
        <f>AVERAGE(AM5,AM7)</f>
      </c>
      <c r="AN3" s="3" t="str">
        <f>AVERAGE(AN5,AN7)</f>
      </c>
      <c r="AO3" s="3" t="str">
        <f>IFERROR(SUM(AN5,AN7)/SUM(AM5,AM7)*100,0)</f>
      </c>
      <c r="AP3" s="3" t="str">
        <f>AVERAGE(AP5,AP7)</f>
      </c>
      <c r="AQ3" s="3" t="str">
        <f>AVERAGE(AQ5,AQ7)</f>
      </c>
      <c r="AR3" s="3" t="str">
        <f>IFERROR(SUM(AQ5,AQ7)/SUM(AP5,AP7)*100,0)</f>
      </c>
      <c r="AS3" s="3" t="str">
        <f>AVERAGE(AS5,AS7)</f>
      </c>
      <c r="AT3" s="3" t="str">
        <f>AVERAGE(AT5,AT7)</f>
      </c>
      <c r="AU3" s="3" t="str">
        <f>IFERROR(SUM(AT5,AT7)/SUM(AS5,AS7)*100,0)</f>
      </c>
      <c r="AV3" s="3" t="str">
        <f>AVERAGE(AV5,AV7)</f>
      </c>
      <c r="AW3" s="3" t="str">
        <f>AVERAGE(AW5,AW7)</f>
      </c>
      <c r="AX3" s="3" t="str">
        <f>IFERROR(SUM(AW5,AW7)/SUM(AV5,AV7)*100,0)</f>
      </c>
      <c r="AY3" s="3" t="str">
        <f>AVERAGE(AY5,AY7)</f>
      </c>
      <c r="AZ3" s="3" t="str">
        <f>AVERAGE(AZ5,AZ7)</f>
      </c>
      <c r="BA3" s="3" t="str">
        <f>AVERAGE(BA5,BA7)</f>
      </c>
      <c r="BB3" s="3" t="str">
        <f>AVERAGE(BB5,BB7)</f>
      </c>
      <c r="BC3" s="3" t="str">
        <f>AVERAGE(BC5,BC7)</f>
      </c>
      <c r="BD3" s="3" t="str">
        <f>AVERAGE(BD5,BD7)</f>
      </c>
      <c r="BE3" s="3" t="str">
        <f>AVERAGE(BE5,BE7)</f>
      </c>
      <c r="BF3" s="3" t="str">
        <f>AVERAGE(BF5,BF7)</f>
      </c>
      <c r="BG3" s="3" t="str">
        <f>IFERROR(SUM(BF5,BF7)/SUM(BE5,BE7)*100,0)</f>
      </c>
      <c r="BH3" s="3" t="str">
        <f>AVERAGE(BH5,BH7)</f>
      </c>
      <c r="BI3" s="3" t="str">
        <f>AVERAGE(BI5,BI7)</f>
      </c>
      <c r="BJ3" s="3" t="str">
        <f>AVERAGE(BJ5,BJ7)</f>
      </c>
      <c r="BK3" s="3" t="str">
        <f>AVERAGE(BK5,BK7)</f>
      </c>
      <c r="BL3" s="3" t="str">
        <f>IFERROR(SUM(BK5,BK7)/SUM(BJ5,BJ7)*100,0)</f>
      </c>
      <c r="BM3" s="3" t="str">
        <f>AVERAGE(BM5,BM7)</f>
      </c>
      <c r="BN3" s="3" t="str">
        <f>AVERAGE(BN5,BN7)</f>
      </c>
      <c r="BO3" s="3" t="str">
        <f>IFERROR(SUM(BN5,BN7)/SUM(BM5,BM7)*100,0)</f>
      </c>
      <c r="BP3" s="3" t="str">
        <f>AVERAGE(BP5,BP7)</f>
      </c>
      <c r="BQ3" s="3" t="str">
        <f>AVERAGE(BQ5,BQ7)</f>
      </c>
      <c r="BR3" s="3" t="str">
        <f>IFERROR(SUM(BQ5,BQ7)/SUM(BP5,BP7)*100,0)</f>
      </c>
      <c r="BS3" s="3" t="str">
        <f>AVERAGE(BS5,BS7)</f>
      </c>
      <c r="BT3" s="3" t="str">
        <f>AVERAGE(BT5,BT7)</f>
      </c>
      <c r="BU3" s="3" t="str">
        <f>IFERROR(SUM(BT5,BT7)/SUM(BS5,BS7)*100,0)</f>
      </c>
      <c r="BV3" s="3" t="str">
        <f>AVERAGE(BV5,BV7)</f>
      </c>
      <c r="BW3" s="3" t="str">
        <f>AVERAGE(BW5,BW7)</f>
      </c>
      <c r="BX3" s="3" t="str">
        <f>AVERAGE(BX5,BX7)</f>
      </c>
      <c r="BY3" s="3" t="str">
        <f>AVERAGE(BY5,BY7)</f>
      </c>
      <c r="BZ3" s="3" t="str">
        <f>AVERAGE(BZ5,BZ7)</f>
      </c>
      <c r="CA3" s="3" t="str">
        <f>AVERAGE(CA5,CA7)</f>
      </c>
      <c r="CB3" s="3" t="str">
        <f>AVERAGE(CB5,CB7)</f>
      </c>
      <c r="CC3" s="3" t="str">
        <f>IFERROR(SUM(CB5,CB7)/SUM(CA5,CA7)*100,0)</f>
      </c>
      <c r="CD3" s="3" t="str">
        <f>AVERAGE(CD5,CD7)</f>
      </c>
      <c r="CE3" s="3" t="str">
        <f>AVERAGE(CE5,CE7)</f>
      </c>
      <c r="CF3" s="3" t="str">
        <f>IFERROR(SUM(CE5,CE7)/SUM(CD5,CD7)*100,0)</f>
      </c>
      <c r="CG3" s="3" t="str">
        <f>AVERAGE(CG5,CG7)</f>
      </c>
      <c r="CH3" s="3" t="str">
        <f>AVERAGE(CH5,CH7)</f>
      </c>
      <c r="CI3" s="3" t="str">
        <f>IFERROR(SUM(CH5,CH7)/SUM(CG5,CG7)*100,0)</f>
      </c>
      <c r="CJ3" s="3" t="str">
        <f>AVERAGE(CJ5,CJ7)</f>
      </c>
      <c r="CK3" s="3" t="str">
        <f>AVERAGE(CK5,CK7)</f>
      </c>
      <c r="CL3" s="3" t="str">
        <f>IFERROR(SUM(CK5,CK7)/SUM(CJ5,CJ7)*100,0)</f>
      </c>
      <c r="CM3" s="3" t="str">
        <f>AVERAGE(CM5,CM7)</f>
      </c>
      <c r="CN3" s="3" t="str">
        <f>AVERAGE(CN5,CN7)</f>
      </c>
      <c r="CO3" s="3" t="str">
        <f>IFERROR(SUM(CN5,CN7)/SUM(CM5,CM7)*100,0)</f>
      </c>
      <c r="CP3" s="3" t="str">
        <f>AVERAGE(CP5,CP7)</f>
      </c>
      <c r="CQ3" s="3" t="str">
        <f>AVERAGE(CQ5,CQ7)</f>
      </c>
      <c r="CR3" s="3" t="str">
        <f>IFERROR(SUM(CQ5,CQ7)/SUM(CP5,CP7)*100,0)</f>
      </c>
      <c r="CS3" s="3" t="str">
        <f>AVERAGE(CS5,CS7)</f>
      </c>
      <c r="CT3" s="3" t="str">
        <f>AVERAGE(CT5,CT7)</f>
      </c>
      <c r="CU3" s="3" t="str">
        <f>IFERROR(SUM(CT5,CT7)/SUM(CS5,CS7)*100,0)</f>
      </c>
      <c r="CV3" s="3" t="str">
        <f>AVERAGE(CV5,CV7)</f>
      </c>
      <c r="CW3" s="3" t="str">
        <f>AVERAGE(CW5,CW7)</f>
      </c>
      <c r="CX3" s="3" t="str">
        <f>IFERROR(SUM(CW5,CW7)/SUM(CV5,CV7)*100,0)</f>
      </c>
      <c r="CY3" s="3" t="str">
        <f>AVERAGE(CY5,CY7)</f>
      </c>
      <c r="CZ3" s="3" t="str">
        <f>AVERAGE(CZ5,CZ7)</f>
      </c>
      <c r="DA3" s="3" t="str">
        <f>AVERAGE(DA5,DA7)</f>
      </c>
      <c r="DB3" s="3" t="str">
        <f>AVERAGE(DB5,DB7)</f>
      </c>
      <c r="DC3" s="3" t="str">
        <f>AVERAGE(DC5,DC7)</f>
      </c>
      <c r="DD3" s="3" t="str">
        <f>AVERAGE(DD5,DD7)</f>
      </c>
      <c r="DE3" s="3" t="str">
        <f>AVERAGE(DE5,DE7)</f>
      </c>
    </row>
    <row ht="12" customHeight="true" r="4">
      <c r="A4" s="0" t="inlineStr">
        <is>
          <t>2026-09-05</t>
        </is>
      </c>
      <c r="B4" s="0" t="inlineStr">
        <is>
          <t>Ibiza - Rayo Majadahonda 2:1</t>
        </is>
      </c>
      <c r="C4" s="0" t="inlineStr">
        <is>
          <t>Spain. Primera Division RFEF</t>
        </is>
      </c>
      <c r="D4" s="0" t="n">
        <v>104</v>
      </c>
      <c r="E4" s="0" t="inlineStr">
        <is>
          <t>Ibiza</t>
        </is>
      </c>
      <c r="F4" s="0" t="inlineStr">
        <is>
          <t>4-3-3 (100.0%)</t>
        </is>
      </c>
      <c r="G4" s="0" t="n">
        <v>2</v>
      </c>
      <c r="H4" s="0" t="n">
        <v>1.45</v>
      </c>
      <c r="I4" s="0" t="n">
        <v>12.0</v>
      </c>
      <c r="J4" s="0" t="n">
        <v>4.0</v>
      </c>
      <c r="K4" s="0" t="n">
        <v>33.33</v>
      </c>
      <c r="L4" s="0" t="n">
        <v>395.0</v>
      </c>
      <c r="M4" s="0" t="n">
        <v>320.0</v>
      </c>
      <c r="N4" s="0" t="n">
        <v>81.01</v>
      </c>
      <c r="O4" s="0" t="n">
        <v>50.08</v>
      </c>
      <c r="P4" s="0" t="n">
        <v>120.0</v>
      </c>
      <c r="Q4" s="0" t="n">
        <v>24.0</v>
      </c>
      <c r="R4" s="0" t="n">
        <v>48.0</v>
      </c>
      <c r="S4" s="0" t="n">
        <v>48.0</v>
      </c>
      <c r="T4" s="0" t="n">
        <v>84.0</v>
      </c>
      <c r="U4" s="0" t="n">
        <v>28.0</v>
      </c>
      <c r="V4" s="0" t="n">
        <v>40.0</v>
      </c>
      <c r="W4" s="0" t="n">
        <v>16.0</v>
      </c>
      <c r="X4" s="0" t="n">
        <v>177.0</v>
      </c>
      <c r="Y4" s="0" t="n">
        <v>97.0</v>
      </c>
      <c r="Z4" s="0" t="n">
        <v>54.8</v>
      </c>
      <c r="AA4" s="0" t="n">
        <v>2.0</v>
      </c>
      <c r="AB4" s="0" t="n">
        <v>0.0</v>
      </c>
      <c r="AC4" s="0" t="n">
        <v>0.0</v>
      </c>
      <c r="AD4" s="0" t="n">
        <v>25</v>
      </c>
      <c r="AE4" s="0" t="n">
        <v>7</v>
      </c>
      <c r="AF4" s="0" t="n">
        <v>28.0</v>
      </c>
      <c r="AG4" s="0" t="n">
        <v>2</v>
      </c>
      <c r="AH4" s="0" t="n">
        <v>0</v>
      </c>
      <c r="AI4" s="0" t="n">
        <v>0.0</v>
      </c>
      <c r="AJ4" s="0" t="n">
        <v>28</v>
      </c>
      <c r="AK4" s="0" t="n">
        <v>5</v>
      </c>
      <c r="AL4" s="0" t="n">
        <v>17.86</v>
      </c>
      <c r="AM4" s="0" t="n">
        <v>8.0</v>
      </c>
      <c r="AN4" s="0" t="n">
        <v>3.0</v>
      </c>
      <c r="AO4" s="0" t="n">
        <v>37.5</v>
      </c>
      <c r="AP4" s="0" t="n">
        <v>1.0</v>
      </c>
      <c r="AQ4" s="0" t="n">
        <v>0.0</v>
      </c>
      <c r="AR4" s="0" t="n">
        <v>0.0</v>
      </c>
      <c r="AS4" s="0" t="n">
        <v>0.0</v>
      </c>
      <c r="AT4" s="0" t="n">
        <v>0.0</v>
      </c>
      <c r="AU4" s="0" t="n">
        <v>0</v>
      </c>
      <c r="AV4" s="0" t="n">
        <v>18.0</v>
      </c>
      <c r="AW4" s="0" t="n">
        <v>7.0</v>
      </c>
      <c r="AX4" s="0" t="n">
        <v>38.89</v>
      </c>
      <c r="AY4" s="0" t="n">
        <v>7.0</v>
      </c>
      <c r="AZ4" s="0" t="n">
        <v>7.0</v>
      </c>
      <c r="BA4" s="0" t="n">
        <v>22.0</v>
      </c>
      <c r="BB4" s="0" t="n">
        <v>1.0</v>
      </c>
      <c r="BC4" s="0" t="n">
        <v>11.0</v>
      </c>
      <c r="BD4" s="0" t="n">
        <v>22.0</v>
      </c>
      <c r="BE4" s="0" t="n">
        <v>53.0</v>
      </c>
      <c r="BF4" s="0" t="n">
        <v>30.0</v>
      </c>
      <c r="BG4" s="0" t="n">
        <v>56.6</v>
      </c>
      <c r="BH4" s="0" t="n">
        <v>0.0</v>
      </c>
      <c r="BI4" s="0" t="n">
        <v>1.0</v>
      </c>
      <c r="BJ4" s="0" t="n">
        <v>10.0</v>
      </c>
      <c r="BK4" s="0" t="n">
        <v>3.0</v>
      </c>
      <c r="BL4" s="0" t="n">
        <v>30.0</v>
      </c>
      <c r="BM4" s="0" t="n">
        <v>69.0</v>
      </c>
      <c r="BN4" s="0" t="n">
        <v>33.0</v>
      </c>
      <c r="BO4" s="0" t="n">
        <v>47.83</v>
      </c>
      <c r="BP4" s="0" t="n">
        <v>42.0</v>
      </c>
      <c r="BQ4" s="0" t="n">
        <v>28.0</v>
      </c>
      <c r="BR4" s="0" t="n">
        <v>66.67</v>
      </c>
      <c r="BS4" s="0" t="n">
        <v>1.0</v>
      </c>
      <c r="BT4" s="0" t="n">
        <v>1.0</v>
      </c>
      <c r="BU4" s="0" t="n">
        <v>100.0</v>
      </c>
      <c r="BV4" s="0" t="n">
        <v>39.0</v>
      </c>
      <c r="BW4" s="0" t="n">
        <v>16.0</v>
      </c>
      <c r="BX4" s="0" t="n">
        <v>22.0</v>
      </c>
      <c r="BY4" s="0" t="n">
        <v>3.0</v>
      </c>
      <c r="BZ4" s="0" t="n">
        <v>0.0</v>
      </c>
      <c r="CA4" s="0" t="n">
        <v>124.0</v>
      </c>
      <c r="CB4" s="0" t="n">
        <v>90.0</v>
      </c>
      <c r="CC4" s="0" t="n">
        <v>72.58</v>
      </c>
      <c r="CD4" s="0" t="n">
        <v>69.0</v>
      </c>
      <c r="CE4" s="0" t="n">
        <v>66.0</v>
      </c>
      <c r="CF4" s="0" t="n">
        <v>95.65</v>
      </c>
      <c r="CG4" s="0" t="n">
        <v>144.0</v>
      </c>
      <c r="CH4" s="0" t="n">
        <v>120.0</v>
      </c>
      <c r="CI4" s="0" t="n">
        <v>83.33</v>
      </c>
      <c r="CJ4" s="0" t="n">
        <v>47.0</v>
      </c>
      <c r="CK4" s="0" t="n">
        <v>24.0</v>
      </c>
      <c r="CL4" s="0" t="n">
        <v>51.06</v>
      </c>
      <c r="CM4" s="0" t="n">
        <v>41.0</v>
      </c>
      <c r="CN4" s="0" t="n">
        <v>23.0</v>
      </c>
      <c r="CO4" s="0" t="n">
        <v>56.1</v>
      </c>
      <c r="CP4" s="0" t="n">
        <v>63.0</v>
      </c>
      <c r="CQ4" s="0" t="n">
        <v>47.0</v>
      </c>
      <c r="CR4" s="0" t="n">
        <v>74.6</v>
      </c>
      <c r="CS4" s="0" t="n">
        <v>0.0</v>
      </c>
      <c r="CT4" s="0" t="n">
        <v>0.0</v>
      </c>
      <c r="CU4" s="0" t="n">
        <v>0</v>
      </c>
      <c r="CV4" s="0" t="n">
        <v>23.0</v>
      </c>
      <c r="CW4" s="0" t="n">
        <v>18.0</v>
      </c>
      <c r="CX4" s="0" t="n">
        <v>78.26</v>
      </c>
      <c r="CY4" s="0" t="n">
        <v>3.0</v>
      </c>
      <c r="CZ4" s="0" t="n">
        <v>18.08</v>
      </c>
      <c r="DA4" s="0" t="n">
        <v>3.87</v>
      </c>
      <c r="DB4" s="0" t="n">
        <v>11.9</v>
      </c>
      <c r="DC4" s="0" t="n">
        <v>13.41</v>
      </c>
      <c r="DD4" s="0" t="n">
        <v>20.79</v>
      </c>
      <c r="DE4" s="0" t="n">
        <v>7.46</v>
      </c>
    </row>
    <row ht="12" customHeight="true" r="5">
      <c r="A5" s="0" t="inlineStr">
        <is>
          <t>2026-09-05</t>
        </is>
      </c>
      <c r="B5" s="0" t="inlineStr">
        <is>
          <t>Ibiza - Rayo Majadahonda 2:1</t>
        </is>
      </c>
      <c r="C5" s="0" t="inlineStr">
        <is>
          <t>Spain. Primera Division RFEF</t>
        </is>
      </c>
      <c r="D5" s="0" t="n">
        <v>104</v>
      </c>
      <c r="E5" s="0" t="inlineStr">
        <is>
          <t>Rayo Majadahonda</t>
        </is>
      </c>
      <c r="F5" s="0" t="inlineStr">
        <is>
          <t>4-2-3-1 (100.0%)</t>
        </is>
      </c>
      <c r="G5" s="0" t="n">
        <v>1</v>
      </c>
      <c r="H5" s="0" t="n">
        <v>0.54</v>
      </c>
      <c r="I5" s="0" t="n">
        <v>10.0</v>
      </c>
      <c r="J5" s="0" t="n">
        <v>3.0</v>
      </c>
      <c r="K5" s="0" t="n">
        <v>30.0</v>
      </c>
      <c r="L5" s="0" t="n">
        <v>357.0</v>
      </c>
      <c r="M5" s="0" t="n">
        <v>293.0</v>
      </c>
      <c r="N5" s="0" t="n">
        <v>82.07</v>
      </c>
      <c r="O5" s="0" t="n">
        <v>49.92</v>
      </c>
      <c r="P5" s="0" t="n">
        <v>113.0</v>
      </c>
      <c r="Q5" s="0" t="n">
        <v>28.0</v>
      </c>
      <c r="R5" s="0" t="n">
        <v>49.0</v>
      </c>
      <c r="S5" s="0" t="n">
        <v>36.0</v>
      </c>
      <c r="T5" s="0" t="n">
        <v>74.0</v>
      </c>
      <c r="U5" s="0" t="n">
        <v>27.0</v>
      </c>
      <c r="V5" s="0" t="n">
        <v>33.0</v>
      </c>
      <c r="W5" s="0" t="n">
        <v>14.0</v>
      </c>
      <c r="X5" s="0" t="n">
        <v>177.0</v>
      </c>
      <c r="Y5" s="0" t="n">
        <v>78.0</v>
      </c>
      <c r="Z5" s="0" t="n">
        <v>44.07</v>
      </c>
      <c r="AA5" s="0" t="n">
        <v>6.0</v>
      </c>
      <c r="AB5" s="0" t="n">
        <v>1.0</v>
      </c>
      <c r="AC5" s="0" t="n">
        <v>16.67</v>
      </c>
      <c r="AD5" s="0" t="n">
        <v>19</v>
      </c>
      <c r="AE5" s="0" t="n">
        <v>5</v>
      </c>
      <c r="AF5" s="0" t="n">
        <v>26.32</v>
      </c>
      <c r="AG5" s="0" t="n">
        <v>1</v>
      </c>
      <c r="AH5" s="0" t="n">
        <v>0</v>
      </c>
      <c r="AI5" s="0" t="n">
        <v>0.0</v>
      </c>
      <c r="AJ5" s="0" t="n">
        <v>38</v>
      </c>
      <c r="AK5" s="0" t="n">
        <v>3</v>
      </c>
      <c r="AL5" s="0" t="n">
        <v>7.89</v>
      </c>
      <c r="AM5" s="0" t="n">
        <v>9.0</v>
      </c>
      <c r="AN5" s="0" t="n">
        <v>2.0</v>
      </c>
      <c r="AO5" s="0" t="n">
        <v>22.22</v>
      </c>
      <c r="AP5" s="0" t="n">
        <v>6.0</v>
      </c>
      <c r="AQ5" s="0" t="n">
        <v>1.0</v>
      </c>
      <c r="AR5" s="0" t="n">
        <v>16.67</v>
      </c>
      <c r="AS5" s="0" t="n">
        <v>0.0</v>
      </c>
      <c r="AT5" s="0" t="n">
        <v>0.0</v>
      </c>
      <c r="AU5" s="0" t="n">
        <v>0</v>
      </c>
      <c r="AV5" s="0" t="n">
        <v>12.0</v>
      </c>
      <c r="AW5" s="0" t="n">
        <v>6.0</v>
      </c>
      <c r="AX5" s="0" t="n">
        <v>50.0</v>
      </c>
      <c r="AY5" s="0" t="n">
        <v>6.0</v>
      </c>
      <c r="AZ5" s="0" t="n">
        <v>3.0</v>
      </c>
      <c r="BA5" s="0" t="n">
        <v>16.0</v>
      </c>
      <c r="BB5" s="0" t="n">
        <v>4.0</v>
      </c>
      <c r="BC5" s="0" t="n">
        <v>6.0</v>
      </c>
      <c r="BD5" s="0" t="n">
        <v>12.0</v>
      </c>
      <c r="BE5" s="0" t="n">
        <v>69.0</v>
      </c>
      <c r="BF5" s="0" t="n">
        <v>36.0</v>
      </c>
      <c r="BG5" s="0" t="n">
        <v>52.17</v>
      </c>
      <c r="BH5" s="0" t="n">
        <v>1.0</v>
      </c>
      <c r="BI5" s="0" t="n">
        <v>2.0</v>
      </c>
      <c r="BJ5" s="0" t="n">
        <v>12.0</v>
      </c>
      <c r="BK5" s="0" t="n">
        <v>4.0</v>
      </c>
      <c r="BL5" s="0" t="n">
        <v>33.33</v>
      </c>
      <c r="BM5" s="0" t="n">
        <v>53.0</v>
      </c>
      <c r="BN5" s="0" t="n">
        <v>23.0</v>
      </c>
      <c r="BO5" s="0" t="n">
        <v>43.4</v>
      </c>
      <c r="BP5" s="0" t="n">
        <v>42.0</v>
      </c>
      <c r="BQ5" s="0" t="n">
        <v>14.0</v>
      </c>
      <c r="BR5" s="0" t="n">
        <v>33.33</v>
      </c>
      <c r="BS5" s="0" t="n">
        <v>1.0</v>
      </c>
      <c r="BT5" s="0" t="n">
        <v>1.0</v>
      </c>
      <c r="BU5" s="0" t="n">
        <v>100.0</v>
      </c>
      <c r="BV5" s="0" t="n">
        <v>36.0</v>
      </c>
      <c r="BW5" s="0" t="n">
        <v>24.0</v>
      </c>
      <c r="BX5" s="0" t="n">
        <v>16.0</v>
      </c>
      <c r="BY5" s="0" t="n">
        <v>2.0</v>
      </c>
      <c r="BZ5" s="0" t="n">
        <v>0.0</v>
      </c>
      <c r="CA5" s="0" t="n">
        <v>113.0</v>
      </c>
      <c r="CB5" s="0" t="n">
        <v>79.0</v>
      </c>
      <c r="CC5" s="0" t="n">
        <v>69.91</v>
      </c>
      <c r="CD5" s="0" t="n">
        <v>61.0</v>
      </c>
      <c r="CE5" s="0" t="n">
        <v>57.0</v>
      </c>
      <c r="CF5" s="0" t="n">
        <v>93.44</v>
      </c>
      <c r="CG5" s="0" t="n">
        <v>123.0</v>
      </c>
      <c r="CH5" s="0" t="n">
        <v>113.0</v>
      </c>
      <c r="CI5" s="0" t="n">
        <v>91.87</v>
      </c>
      <c r="CJ5" s="0" t="n">
        <v>41.0</v>
      </c>
      <c r="CK5" s="0" t="n">
        <v>29.0</v>
      </c>
      <c r="CL5" s="0" t="n">
        <v>70.73</v>
      </c>
      <c r="CM5" s="0" t="n">
        <v>31.0</v>
      </c>
      <c r="CN5" s="0" t="n">
        <v>22.0</v>
      </c>
      <c r="CO5" s="0" t="n">
        <v>70.97</v>
      </c>
      <c r="CP5" s="0" t="n">
        <v>53.0</v>
      </c>
      <c r="CQ5" s="0" t="n">
        <v>34.0</v>
      </c>
      <c r="CR5" s="0" t="n">
        <v>64.15</v>
      </c>
      <c r="CS5" s="0" t="n">
        <v>0.0</v>
      </c>
      <c r="CT5" s="0" t="n">
        <v>0.0</v>
      </c>
      <c r="CU5" s="0" t="n">
        <v>0</v>
      </c>
      <c r="CV5" s="0" t="n">
        <v>19.0</v>
      </c>
      <c r="CW5" s="0" t="n">
        <v>16.0</v>
      </c>
      <c r="CX5" s="0" t="n">
        <v>84.21</v>
      </c>
      <c r="CY5" s="0" t="n">
        <v>7.0</v>
      </c>
      <c r="CZ5" s="0" t="n">
        <v>16.39</v>
      </c>
      <c r="DA5" s="0" t="n">
        <v>3.43</v>
      </c>
      <c r="DB5" s="0" t="n">
        <v>11.48</v>
      </c>
      <c r="DC5" s="0" t="n">
        <v>17.95</v>
      </c>
      <c r="DD5" s="0" t="n">
        <v>18.67</v>
      </c>
      <c r="DE5" s="0" t="n">
        <v>8.66</v>
      </c>
    </row>
    <row ht="12" customHeight="true" r="6">
      <c r="A6" s="0" t="inlineStr">
        <is>
          <t>2026-08-30</t>
        </is>
      </c>
      <c r="B6" s="0" t="inlineStr">
        <is>
          <t>Antequera - Ibiza 3:2</t>
        </is>
      </c>
      <c r="C6" s="0" t="inlineStr">
        <is>
          <t>Spain. Primera Division RFEF</t>
        </is>
      </c>
      <c r="D6" s="0" t="n">
        <v>102</v>
      </c>
      <c r="E6" s="0" t="inlineStr">
        <is>
          <t>Ibiza</t>
        </is>
      </c>
      <c r="F6" s="0" t="inlineStr">
        <is>
          <t>4-2-3-1 (64.17%)</t>
        </is>
      </c>
      <c r="G6" s="0" t="n">
        <v>2</v>
      </c>
      <c r="H6" s="0" t="n">
        <v>0.84</v>
      </c>
      <c r="I6" s="0" t="n">
        <v>11.0</v>
      </c>
      <c r="J6" s="0" t="n">
        <v>6.0</v>
      </c>
      <c r="K6" s="0" t="n">
        <v>54.55</v>
      </c>
      <c r="L6" s="0" t="n">
        <v>390.0</v>
      </c>
      <c r="M6" s="0" t="n">
        <v>319.0</v>
      </c>
      <c r="N6" s="0" t="n">
        <v>81.79</v>
      </c>
      <c r="O6" s="0" t="n">
        <v>54.08</v>
      </c>
      <c r="P6" s="0" t="n">
        <v>123.0</v>
      </c>
      <c r="Q6" s="0" t="n">
        <v>29.0</v>
      </c>
      <c r="R6" s="0" t="n">
        <v>47.0</v>
      </c>
      <c r="S6" s="0" t="n">
        <v>47.0</v>
      </c>
      <c r="T6" s="0" t="n">
        <v>93.0</v>
      </c>
      <c r="U6" s="0" t="n">
        <v>46.0</v>
      </c>
      <c r="V6" s="0" t="n">
        <v>36.0</v>
      </c>
      <c r="W6" s="0" t="n">
        <v>11.0</v>
      </c>
      <c r="X6" s="0" t="n">
        <v>167.0</v>
      </c>
      <c r="Y6" s="0" t="n">
        <v>90.0</v>
      </c>
      <c r="Z6" s="0" t="n">
        <v>53.89</v>
      </c>
      <c r="AA6" s="0" t="n">
        <v>8.0</v>
      </c>
      <c r="AB6" s="0" t="n">
        <v>4.0</v>
      </c>
      <c r="AC6" s="0" t="n">
        <v>50.0</v>
      </c>
      <c r="AD6" s="0" t="n">
        <v>26</v>
      </c>
      <c r="AE6" s="0" t="n">
        <v>7</v>
      </c>
      <c r="AF6" s="0" t="n">
        <v>26.92</v>
      </c>
      <c r="AG6" s="0" t="n">
        <v>1</v>
      </c>
      <c r="AH6" s="0" t="n">
        <v>0</v>
      </c>
      <c r="AI6" s="0" t="n">
        <v>0.0</v>
      </c>
      <c r="AJ6" s="0" t="n">
        <v>25</v>
      </c>
      <c r="AK6" s="0" t="n">
        <v>3</v>
      </c>
      <c r="AL6" s="0" t="n">
        <v>12.0</v>
      </c>
      <c r="AM6" s="0" t="n">
        <v>4.0</v>
      </c>
      <c r="AN6" s="0" t="n">
        <v>0.0</v>
      </c>
      <c r="AO6" s="0" t="n">
        <v>0.0</v>
      </c>
      <c r="AP6" s="0" t="n">
        <v>3.0</v>
      </c>
      <c r="AQ6" s="0" t="n">
        <v>0.0</v>
      </c>
      <c r="AR6" s="0" t="n">
        <v>0.0</v>
      </c>
      <c r="AS6" s="0" t="n">
        <v>0.0</v>
      </c>
      <c r="AT6" s="0" t="n">
        <v>0.0</v>
      </c>
      <c r="AU6" s="0" t="n">
        <v>0</v>
      </c>
      <c r="AV6" s="0" t="n">
        <v>14.0</v>
      </c>
      <c r="AW6" s="0" t="n">
        <v>7.0</v>
      </c>
      <c r="AX6" s="0" t="n">
        <v>50.0</v>
      </c>
      <c r="AY6" s="0" t="n">
        <v>4.0</v>
      </c>
      <c r="AZ6" s="0" t="n">
        <v>6.0</v>
      </c>
      <c r="BA6" s="0" t="n">
        <v>18.0</v>
      </c>
      <c r="BB6" s="0" t="n">
        <v>1.0</v>
      </c>
      <c r="BC6" s="0" t="n">
        <v>8.0</v>
      </c>
      <c r="BD6" s="0" t="n">
        <v>15.0</v>
      </c>
      <c r="BE6" s="0" t="n">
        <v>51.0</v>
      </c>
      <c r="BF6" s="0" t="n">
        <v>26.0</v>
      </c>
      <c r="BG6" s="0" t="n">
        <v>50.98</v>
      </c>
      <c r="BH6" s="0" t="n">
        <v>2.0</v>
      </c>
      <c r="BI6" s="0" t="n">
        <v>3.0</v>
      </c>
      <c r="BJ6" s="0" t="n">
        <v>11.0</v>
      </c>
      <c r="BK6" s="0" t="n">
        <v>6.0</v>
      </c>
      <c r="BL6" s="0" t="n">
        <v>54.55</v>
      </c>
      <c r="BM6" s="0" t="n">
        <v>73.0</v>
      </c>
      <c r="BN6" s="0" t="n">
        <v>46.0</v>
      </c>
      <c r="BO6" s="0" t="n">
        <v>63.01</v>
      </c>
      <c r="BP6" s="0" t="n">
        <v>23.0</v>
      </c>
      <c r="BQ6" s="0" t="n">
        <v>8.0</v>
      </c>
      <c r="BR6" s="0" t="n">
        <v>34.78</v>
      </c>
      <c r="BS6" s="0" t="n">
        <v>0.0</v>
      </c>
      <c r="BT6" s="0" t="n">
        <v>0.0</v>
      </c>
      <c r="BU6" s="0" t="n">
        <v>0</v>
      </c>
      <c r="BV6" s="0" t="n">
        <v>37.0</v>
      </c>
      <c r="BW6" s="0" t="n">
        <v>18.0</v>
      </c>
      <c r="BX6" s="0" t="n">
        <v>18.0</v>
      </c>
      <c r="BY6" s="0" t="n">
        <v>7.0</v>
      </c>
      <c r="BZ6" s="0" t="n">
        <v>1.0</v>
      </c>
      <c r="CA6" s="0" t="n">
        <v>138.0</v>
      </c>
      <c r="CB6" s="0" t="n">
        <v>103.0</v>
      </c>
      <c r="CC6" s="0" t="n">
        <v>74.64</v>
      </c>
      <c r="CD6" s="0" t="n">
        <v>50.0</v>
      </c>
      <c r="CE6" s="0" t="n">
        <v>43.0</v>
      </c>
      <c r="CF6" s="0" t="n">
        <v>86.0</v>
      </c>
      <c r="CG6" s="0" t="n">
        <v>140.0</v>
      </c>
      <c r="CH6" s="0" t="n">
        <v>121.0</v>
      </c>
      <c r="CI6" s="0" t="n">
        <v>86.43</v>
      </c>
      <c r="CJ6" s="0" t="n">
        <v>38.0</v>
      </c>
      <c r="CK6" s="0" t="n">
        <v>26.0</v>
      </c>
      <c r="CL6" s="0" t="n">
        <v>68.42</v>
      </c>
      <c r="CM6" s="0" t="n">
        <v>43.0</v>
      </c>
      <c r="CN6" s="0" t="n">
        <v>28.0</v>
      </c>
      <c r="CO6" s="0" t="n">
        <v>65.12</v>
      </c>
      <c r="CP6" s="0" t="n">
        <v>64.0</v>
      </c>
      <c r="CQ6" s="0" t="n">
        <v>44.0</v>
      </c>
      <c r="CR6" s="0" t="n">
        <v>68.75</v>
      </c>
      <c r="CS6" s="0" t="n">
        <v>0.0</v>
      </c>
      <c r="CT6" s="0" t="n">
        <v>0.0</v>
      </c>
      <c r="CU6" s="0" t="n">
        <v>0</v>
      </c>
      <c r="CV6" s="0" t="n">
        <v>20.0</v>
      </c>
      <c r="CW6" s="0" t="n">
        <v>14.0</v>
      </c>
      <c r="CX6" s="0" t="n">
        <v>70.0</v>
      </c>
      <c r="CY6" s="0" t="n">
        <v>5.0</v>
      </c>
      <c r="CZ6" s="0" t="n">
        <v>16.64</v>
      </c>
      <c r="DA6" s="0" t="n">
        <v>3.79</v>
      </c>
      <c r="DB6" s="0" t="n">
        <v>9.74</v>
      </c>
      <c r="DC6" s="0" t="n">
        <v>19.4</v>
      </c>
      <c r="DD6" s="0" t="n">
        <v>18.89</v>
      </c>
      <c r="DE6" s="0" t="n">
        <v>7.37</v>
      </c>
    </row>
    <row ht="12" customHeight="true" r="7">
      <c r="A7" s="0" t="inlineStr">
        <is>
          <t>2026-08-30</t>
        </is>
      </c>
      <c r="B7" s="0" t="inlineStr">
        <is>
          <t>Antequera - Ibiza 3:2</t>
        </is>
      </c>
      <c r="C7" s="0" t="inlineStr">
        <is>
          <t>Spain. Primera Division RFEF</t>
        </is>
      </c>
      <c r="D7" s="0" t="n">
        <v>102</v>
      </c>
      <c r="E7" s="0" t="inlineStr">
        <is>
          <t>Antequera</t>
        </is>
      </c>
      <c r="F7" s="0" t="inlineStr">
        <is>
          <t>4-2-3-1 (100.0%)</t>
        </is>
      </c>
      <c r="G7" s="0" t="n">
        <v>3</v>
      </c>
      <c r="H7" s="0" t="n">
        <v>1.7</v>
      </c>
      <c r="I7" s="0" t="n">
        <v>11.0</v>
      </c>
      <c r="J7" s="0" t="n">
        <v>6.0</v>
      </c>
      <c r="K7" s="0" t="n">
        <v>54.55</v>
      </c>
      <c r="L7" s="0" t="n">
        <v>336.0</v>
      </c>
      <c r="M7" s="0" t="n">
        <v>263.0</v>
      </c>
      <c r="N7" s="0" t="n">
        <v>78.27</v>
      </c>
      <c r="O7" s="0" t="n">
        <v>45.92</v>
      </c>
      <c r="P7" s="0" t="n">
        <v>108.0</v>
      </c>
      <c r="Q7" s="0" t="n">
        <v>16.0</v>
      </c>
      <c r="R7" s="0" t="n">
        <v>37.0</v>
      </c>
      <c r="S7" s="0" t="n">
        <v>55.0</v>
      </c>
      <c r="T7" s="0" t="n">
        <v>82.0</v>
      </c>
      <c r="U7" s="0" t="n">
        <v>28.0</v>
      </c>
      <c r="V7" s="0" t="n">
        <v>42.0</v>
      </c>
      <c r="W7" s="0" t="n">
        <v>12.0</v>
      </c>
      <c r="X7" s="0" t="n">
        <v>167.0</v>
      </c>
      <c r="Y7" s="0" t="n">
        <v>76.0</v>
      </c>
      <c r="Z7" s="0" t="n">
        <v>45.51</v>
      </c>
      <c r="AA7" s="0" t="n">
        <v>4.0</v>
      </c>
      <c r="AB7" s="0" t="n">
        <v>2.0</v>
      </c>
      <c r="AC7" s="0" t="n">
        <v>50.0</v>
      </c>
      <c r="AD7" s="0" t="n">
        <v>29</v>
      </c>
      <c r="AE7" s="0" t="n">
        <v>7</v>
      </c>
      <c r="AF7" s="0" t="n">
        <v>24.14</v>
      </c>
      <c r="AG7" s="0" t="n">
        <v>1</v>
      </c>
      <c r="AH7" s="0" t="n">
        <v>0</v>
      </c>
      <c r="AI7" s="0" t="n">
        <v>0.0</v>
      </c>
      <c r="AJ7" s="0" t="n">
        <v>29</v>
      </c>
      <c r="AK7" s="0" t="n">
        <v>3</v>
      </c>
      <c r="AL7" s="0" t="n">
        <v>10.34</v>
      </c>
      <c r="AM7" s="0" t="n">
        <v>5.0</v>
      </c>
      <c r="AN7" s="0" t="n">
        <v>2.0</v>
      </c>
      <c r="AO7" s="0" t="n">
        <v>40.0</v>
      </c>
      <c r="AP7" s="0" t="n">
        <v>6.0</v>
      </c>
      <c r="AQ7" s="0" t="n">
        <v>0.0</v>
      </c>
      <c r="AR7" s="0" t="n">
        <v>0.0</v>
      </c>
      <c r="AS7" s="0" t="n">
        <v>0.0</v>
      </c>
      <c r="AT7" s="0" t="n">
        <v>0.0</v>
      </c>
      <c r="AU7" s="0" t="n">
        <v>0</v>
      </c>
      <c r="AV7" s="0" t="n">
        <v>12.0</v>
      </c>
      <c r="AW7" s="0" t="n">
        <v>5.0</v>
      </c>
      <c r="AX7" s="0" t="n">
        <v>41.67</v>
      </c>
      <c r="AY7" s="0" t="n">
        <v>6.0</v>
      </c>
      <c r="AZ7" s="0" t="n">
        <v>5.0</v>
      </c>
      <c r="BA7" s="0" t="n">
        <v>21.0</v>
      </c>
      <c r="BB7" s="0" t="n">
        <v>3.0</v>
      </c>
      <c r="BC7" s="0" t="n">
        <v>9.0</v>
      </c>
      <c r="BD7" s="0" t="n">
        <v>17.0</v>
      </c>
      <c r="BE7" s="0" t="n">
        <v>73.0</v>
      </c>
      <c r="BF7" s="0" t="n">
        <v>27.0</v>
      </c>
      <c r="BG7" s="0" t="n">
        <v>36.99</v>
      </c>
      <c r="BH7" s="0" t="n">
        <v>1.0</v>
      </c>
      <c r="BI7" s="0" t="n">
        <v>2.0</v>
      </c>
      <c r="BJ7" s="0" t="n">
        <v>11.0</v>
      </c>
      <c r="BK7" s="0" t="n">
        <v>6.0</v>
      </c>
      <c r="BL7" s="0" t="n">
        <v>54.55</v>
      </c>
      <c r="BM7" s="0" t="n">
        <v>51.0</v>
      </c>
      <c r="BN7" s="0" t="n">
        <v>25.0</v>
      </c>
      <c r="BO7" s="0" t="n">
        <v>49.02</v>
      </c>
      <c r="BP7" s="0" t="n">
        <v>23.0</v>
      </c>
      <c r="BQ7" s="0" t="n">
        <v>15.0</v>
      </c>
      <c r="BR7" s="0" t="n">
        <v>65.22</v>
      </c>
      <c r="BS7" s="0" t="n">
        <v>0.0</v>
      </c>
      <c r="BT7" s="0" t="n">
        <v>0.0</v>
      </c>
      <c r="BU7" s="0" t="n">
        <v>0</v>
      </c>
      <c r="BV7" s="0" t="n">
        <v>38.0</v>
      </c>
      <c r="BW7" s="0" t="n">
        <v>24.0</v>
      </c>
      <c r="BX7" s="0" t="n">
        <v>15.0</v>
      </c>
      <c r="BY7" s="0" t="n">
        <v>1.0</v>
      </c>
      <c r="BZ7" s="0" t="n">
        <v>0.0</v>
      </c>
      <c r="CA7" s="0" t="n">
        <v>117.0</v>
      </c>
      <c r="CB7" s="0" t="n">
        <v>80.0</v>
      </c>
      <c r="CC7" s="0" t="n">
        <v>68.38</v>
      </c>
      <c r="CD7" s="0" t="n">
        <v>64.0</v>
      </c>
      <c r="CE7" s="0" t="n">
        <v>59.0</v>
      </c>
      <c r="CF7" s="0" t="n">
        <v>92.19</v>
      </c>
      <c r="CG7" s="0" t="n">
        <v>99.0</v>
      </c>
      <c r="CH7" s="0" t="n">
        <v>86.0</v>
      </c>
      <c r="CI7" s="0" t="n">
        <v>86.87</v>
      </c>
      <c r="CJ7" s="0" t="n">
        <v>39.0</v>
      </c>
      <c r="CK7" s="0" t="n">
        <v>23.0</v>
      </c>
      <c r="CL7" s="0" t="n">
        <v>58.97</v>
      </c>
      <c r="CM7" s="0" t="n">
        <v>44.0</v>
      </c>
      <c r="CN7" s="0" t="n">
        <v>29.0</v>
      </c>
      <c r="CO7" s="0" t="n">
        <v>65.91</v>
      </c>
      <c r="CP7" s="0" t="n">
        <v>64.0</v>
      </c>
      <c r="CQ7" s="0" t="n">
        <v>42.0</v>
      </c>
      <c r="CR7" s="0" t="n">
        <v>65.63</v>
      </c>
      <c r="CS7" s="0" t="n">
        <v>1.0</v>
      </c>
      <c r="CT7" s="0" t="n">
        <v>1.0</v>
      </c>
      <c r="CU7" s="0" t="n">
        <v>100.0</v>
      </c>
      <c r="CV7" s="0" t="n">
        <v>12.0</v>
      </c>
      <c r="CW7" s="0" t="n">
        <v>12.0</v>
      </c>
      <c r="CX7" s="0" t="n">
        <v>100.0</v>
      </c>
      <c r="CY7" s="0" t="n">
        <v>5.0</v>
      </c>
      <c r="CZ7" s="0" t="n">
        <v>16.89</v>
      </c>
      <c r="DA7" s="0" t="n">
        <v>3.33</v>
      </c>
      <c r="DB7" s="0" t="n">
        <v>11.61</v>
      </c>
      <c r="DC7" s="0" t="n">
        <v>16.65</v>
      </c>
      <c r="DD7" s="0" t="n">
        <v>19.42</v>
      </c>
      <c r="DE7" s="0" t="n">
        <v>9.19</v>
      </c>
    </row>
  </sheetData>
  <sheetCalcPr fullCalcOnLoad="true"/>
  <mergeCells count="35">
    <mergeCell ref="I1:K1"/>
    <mergeCell ref="L1:N1"/>
    <mergeCell ref="P1:S1"/>
    <mergeCell ref="T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BA1:BC1"/>
    <mergeCell ref="BE1:BG1"/>
    <mergeCell ref="BJ1:BL1"/>
    <mergeCell ref="BM1:BO1"/>
    <mergeCell ref="BP1:BR1"/>
    <mergeCell ref="BS1:BU1"/>
    <mergeCell ref="CA1:CC1"/>
    <mergeCell ref="CD1:CF1"/>
    <mergeCell ref="CG1:CI1"/>
    <mergeCell ref="CJ1:CL1"/>
    <mergeCell ref="CM1:CO1"/>
    <mergeCell ref="CP1:CR1"/>
    <mergeCell ref="CS1:CU1"/>
    <mergeCell ref="CV1:CX1"/>
    <mergeCell ref="A4:A5"/>
    <mergeCell ref="B4:B5"/>
    <mergeCell ref="C4:C5"/>
    <mergeCell ref="D4:D5"/>
    <mergeCell ref="A6:A7"/>
    <mergeCell ref="B6:B7"/>
    <mergeCell ref="C6:C7"/>
    <mergeCell ref="D6:D7"/>
  </mergeCells>
  <printOptions verticalCentered="false" horizontalCentered="false" headings="false" gridLines="false"/>
  <pageMargins right="0.75" left="0.75" bottom="1.0" top="1.0" footer="0.5" header="0.5"/>
  <pageSetup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:creator>axlsx</dc:creator>
  <dcterms:created xsi:type="dcterms:W3CDTF">2026-09-12T22:04:30Z</dcterms:created>
  <cp:revision>0</cp:revision>
</cp:coreProperties>
</file>